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Questions" sheetId="3" state="visible" r:id="rId5"/>
    <sheet name="Engines" sheetId="4" state="visible" r:id="rId6"/>
    <sheet name="Run Log" sheetId="5" state="visible" r:id="rId7"/>
    <sheet name="Summary" sheetId="6" state="visible" r:id="rId8"/>
    <sheet name="Histo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<sst xmlns="http://schemas.openxmlformats.org/spreadsheetml/2006/main" count="200" uniqueCount="177">
  <si>
    <t xml:space="preserve">VNHL AI Assistant Visibility Survey Log</t>
  </si>
  <si>
    <t xml:space="preserve">Repeatable survey: which physician do major AI assistants name first when asked about internal medicine and primary care in Imperial Beach?</t>
  </si>
  <si>
    <t xml:space="preserve">PURPOSE</t>
  </si>
  <si>
    <t xml:space="preserve">Produce a dated, defensible result (for example "named first by 4 of 5 assistants") plus a 0-100 composite score you can compare from survey to survey.</t>
  </si>
  <si>
    <t xml:space="preserve">WORKFLOW</t>
  </si>
  <si>
    <t xml:space="preserve">1. Settings</t>
  </si>
  <si>
    <t xml:space="preserve">Set the survey month, location, and thresholds (blue cells on yellow).</t>
  </si>
  <si>
    <t xml:space="preserve">2. Questions</t>
  </si>
  <si>
    <t xml:space="preserve">Use the standardized questions exactly as written. Do not mention Dr. K or VNHL in any question. Edit question weights if some matter more.</t>
  </si>
  <si>
    <t xml:space="preserve">3. Engines</t>
  </si>
  <si>
    <t xml:space="preserve">List the AI assistants you will test and an optional weight per engine (default 1 each).</t>
  </si>
  <si>
    <t xml:space="preserve">4. Run Log</t>
  </si>
  <si>
    <t xml:space="preserve">One row per engine x question x repetition (recommended: each question 2-3 times per engine, all on the same day). Fill the blue columns A-O. Grey columns calculate themselves.</t>
  </si>
  <si>
    <t xml:space="preserve">5. Summary</t>
  </si>
  <si>
    <t xml:space="preserve">Read the engine table, the by-question table, the composite score, and the auto-drafted wording. The status line says whether the evidence is strong enough to quote.</t>
  </si>
  <si>
    <t xml:space="preserve">6. History</t>
  </si>
  <si>
    <t xml:space="preserve">Before starting the next survey, save a copy of this file (VNHL_AI_Survey_YYYY-MM.xlsx) and record the results in the History tab so surveys can be compared.</t>
  </si>
  <si>
    <t xml:space="preserve">CLEAN-SESSION RULE</t>
  </si>
  <si>
    <t xml:space="preserve">Run each engine logged out, in a private window, or in a temporary chat with memory and personalization off. Answers can be biased by past conversations. Rows with "Clean session?" = N are marked invalid and excluded from every calculation.</t>
  </si>
  <si>
    <t xml:space="preserve">WHAT COUNTS AS NAMED</t>
  </si>
  <si>
    <t xml:space="preserve">Dr. K counts as named if the answer includes any of: Dr. K, Dr. Vijay Kuppurajan, Vijay Kuppurajan, Kuppurajan, or VN Healthy Living Medical Group with his name. Rank = order of the physician among all physicians named (1 = first physician named, or #1 in a numbered list). Leave Rank blank when not named.</t>
  </si>
  <si>
    <t xml:space="preserve">SCORING PER RUN</t>
  </si>
  <si>
    <t xml:space="preserve">Rank points come from the table in Settings (default: rank 1 = 10, 2 = 7, 3 = 5, 4 = 3, 5 = 2, 6 or lower = 1, not named = 0). Run score (0-100) = points / maximum points x 100. Each run is also multiplied by its question weight.</t>
  </si>
  <si>
    <t xml:space="preserve">ENGINE SCORE</t>
  </si>
  <si>
    <t xml:space="preserve">Weighted average of run scores for that engine (question weights), over valid runs only.</t>
  </si>
  <si>
    <t xml:space="preserve">COMPOSITE SCORE (0-100)</t>
  </si>
  <si>
    <t xml:space="preserve">Weighted average of engine scores using the engine weights, counting only qualified engines (at least the minimum number of valid runs set in Settings). Higher means Dr. K is named earlier and more often.</t>
  </si>
  <si>
    <t xml:space="preserve">ENGINE VERDICT</t>
  </si>
  <si>
    <t xml:space="preserve">First: first-place rate is at least the threshold in Settings (default 50%). Top 2 / Top 3: share of runs ranked at or above that position reaches the threshold. Named: named in at least the threshold share of runs. Otherwise "Not reliably named".</t>
  </si>
  <si>
    <t xml:space="preserve">CLAIM RULE</t>
  </si>
  <si>
    <t xml:space="preserve">Quote the result only when the Summary status says "Ready to quote". Always include the survey month, the number of assistants, and the note that AI results change over time. Keep screenshots and full answer text as proof (file names go in column N).</t>
  </si>
  <si>
    <t xml:space="preserve">COLOR LEGEND</t>
  </si>
  <si>
    <t xml:space="preserve">Blue text on pale yellow = cells you fill in. Black on grey = formulas, do not type there. Grey italic row in Run Log = example row, ignored by all calculations (its Run ID starts with EX).</t>
  </si>
  <si>
    <t xml:space="preserve">ASSUMPTIONS</t>
  </si>
  <si>
    <t xml:space="preserve">Point scale, thresholds (50%), minimum runs (6 per engine) and minimum engines (5) are working defaults chosen by Claude on 4 Oct 2026, not industry standards. Change them in Settings if you disagree. The prior-survey row in History comes from Raj's recollection (4 of 5 first, fifth thought to be #2) and is unverified.</t>
  </si>
  <si>
    <t xml:space="preserve">Settings</t>
  </si>
  <si>
    <t xml:space="preserve">Blue on yellow = edit. Everything else reads from here.</t>
  </si>
  <si>
    <t xml:space="preserve">Setting</t>
  </si>
  <si>
    <t xml:space="preserve">Value</t>
  </si>
  <si>
    <t xml:space="preserve">Note</t>
  </si>
  <si>
    <t xml:space="preserve">Survey label (month and year)</t>
  </si>
  <si>
    <t xml:space="preserve">October 2026</t>
  </si>
  <si>
    <t xml:space="preserve">Used in the drafted wording. Update for each survey.</t>
  </si>
  <si>
    <t xml:space="preserve">Physician under test</t>
  </si>
  <si>
    <t xml:space="preserve">Dr. K</t>
  </si>
  <si>
    <t xml:space="preserve">Name used in drafted wording.</t>
  </si>
  <si>
    <t xml:space="preserve">Names that count as "named"</t>
  </si>
  <si>
    <t xml:space="preserve">Dr. K; Dr. Vijay Kuppurajan; Vijay Kuppurajan; Kuppurajan</t>
  </si>
  <si>
    <t xml:space="preserve">Reference only. Judge each answer against this list.</t>
  </si>
  <si>
    <t xml:space="preserve">Location used in questions</t>
  </si>
  <si>
    <t xml:space="preserve">Imperial Beach, CA 91932</t>
  </si>
  <si>
    <t xml:space="preserve">Record the location setting of each device in the Run Log version/mode column if it differs.</t>
  </si>
  <si>
    <t xml:space="preserve">Engine verdict threshold</t>
  </si>
  <si>
    <t xml:space="preserve">Share of valid runs needed for First / Top 2 / Top 3 / Named verdicts (0.5 = 50%).</t>
  </si>
  <si>
    <t xml:space="preserve">Minimum valid runs per engine</t>
  </si>
  <si>
    <t xml:space="preserve">Engines below this show "Too few runs" and are left out of counts and the composite.</t>
  </si>
  <si>
    <t xml:space="preserve">Minimum qualified engines to quote</t>
  </si>
  <si>
    <t xml:space="preserve">Status shows "Ready to quote" only when at least this many engines qualify.</t>
  </si>
  <si>
    <t xml:space="preserve">Rank points table</t>
  </si>
  <si>
    <t xml:space="preserve">Rank position</t>
  </si>
  <si>
    <t xml:space="preserve">Points</t>
  </si>
  <si>
    <t xml:space="preserve">First physician named / #1 in list</t>
  </si>
  <si>
    <t xml:space="preserve">6th or lower</t>
  </si>
  <si>
    <t xml:space="preserve">Not named</t>
  </si>
  <si>
    <t xml:space="preserve">Fixed at 0</t>
  </si>
  <si>
    <t xml:space="preserve">Maximum points (for 0-100 scaling)</t>
  </si>
  <si>
    <t xml:space="preserve">Formula</t>
  </si>
  <si>
    <t xml:space="preserve">Standardized questions</t>
  </si>
  <si>
    <t xml:space="preserve">Ask exactly as written, same wording on every engine, every survey. Never name Dr. K or VNHL. Weight = how much the question counts (1 = normal).</t>
  </si>
  <si>
    <t xml:space="preserve">ID</t>
  </si>
  <si>
    <t xml:space="preserve">Category</t>
  </si>
  <si>
    <t xml:space="preserve">Question (copy and paste)</t>
  </si>
  <si>
    <t xml:space="preserve">Weight</t>
  </si>
  <si>
    <t xml:space="preserve">Why this question</t>
  </si>
  <si>
    <t xml:space="preserve">Q1</t>
  </si>
  <si>
    <t xml:space="preserve">General</t>
  </si>
  <si>
    <t xml:space="preserve">Who is the best internal medicine doctor in Imperial Beach, CA?</t>
  </si>
  <si>
    <t xml:space="preserve">Core local search phrasing.</t>
  </si>
  <si>
    <t xml:space="preserve">Q2</t>
  </si>
  <si>
    <t xml:space="preserve">Seniors</t>
  </si>
  <si>
    <t xml:space="preserve">Who is the best primary care doctor in Imperial Beach, CA for seniors?</t>
  </si>
  <si>
    <t xml:space="preserve">Senior care is the main campaign audience.</t>
  </si>
  <si>
    <t xml:space="preserve">Q3</t>
  </si>
  <si>
    <t xml:space="preserve">Near me / ZIP</t>
  </si>
  <si>
    <t xml:space="preserve">I am looking for a new primary care doctor near Imperial Beach, CA 91932. Who do you recommend?</t>
  </si>
  <si>
    <t xml:space="preserve">Conversational, patient-style request.</t>
  </si>
  <si>
    <t xml:space="preserve">Q4</t>
  </si>
  <si>
    <t xml:space="preserve">Regional</t>
  </si>
  <si>
    <t xml:space="preserve">Which internal medicine doctors in the South Bay area of San Diego are accepting new patients?</t>
  </si>
  <si>
    <t xml:space="preserve">Wider service area.</t>
  </si>
  <si>
    <t xml:space="preserve">Q5</t>
  </si>
  <si>
    <t xml:space="preserve">Service</t>
  </si>
  <si>
    <t xml:space="preserve">Who is a good doctor for medical weight loss in Imperial Beach, CA?</t>
  </si>
  <si>
    <t xml:space="preserve">Weight management campaign. Internal survey only, so no wording restrictions apply here.</t>
  </si>
  <si>
    <t xml:space="preserve">Q6</t>
  </si>
  <si>
    <t xml:space="preserve">Spanish</t>
  </si>
  <si>
    <t xml:space="preserve">¿Quién es el mejor médico de medicina interna en Imperial Beach, California?</t>
  </si>
  <si>
    <t xml:space="preserve">Bilingual care is a differentiator.</t>
  </si>
  <si>
    <t xml:space="preserve">AI engines tested</t>
  </si>
  <si>
    <t xml:space="preserve">Edit names to match what you actually test. Weight = how much the engine counts in the composite (1 = equal).</t>
  </si>
  <si>
    <t xml:space="preserve">Engine</t>
  </si>
  <si>
    <t xml:space="preserve">Setup reminder</t>
  </si>
  <si>
    <t xml:space="preserve">ChatGPT</t>
  </si>
  <si>
    <t xml:space="preserve">Logged out, private window or temporary chat; memory off; note whether web search was on.</t>
  </si>
  <si>
    <t xml:space="preserve">Gemini</t>
  </si>
  <si>
    <t xml:space="preserve">Google AI Overviews / AI Mode</t>
  </si>
  <si>
    <t xml:space="preserve">Perplexity</t>
  </si>
  <si>
    <t xml:space="preserve">Claude</t>
  </si>
  <si>
    <t xml:space="preserve">Microsoft Copilot</t>
  </si>
  <si>
    <t xml:space="preserve">Grok</t>
  </si>
  <si>
    <t xml:space="preserve">Meta AI</t>
  </si>
  <si>
    <t xml:space="preserve">Run Log</t>
  </si>
  <si>
    <t xml:space="preserve">One row per engine x question x repetition. Blue columns A-O are yours; grey columns P-S calculate. Row 6 is an example (Run ID starts with EX) and is ignored by every calculation.</t>
  </si>
  <si>
    <t xml:space="preserve">Rank = order of the physician among all physicians named (1 = first). Leave Rank blank when Dr. K is not named. Clean session = logged out / private / memory off.</t>
  </si>
  <si>
    <t xml:space="preserve">Run ID</t>
  </si>
  <si>
    <t xml:space="preserve">Date</t>
  </si>
  <si>
    <t xml:space="preserve">Version / mode / location</t>
  </si>
  <si>
    <t xml:space="preserve">Web search on? (Y/N)</t>
  </si>
  <si>
    <t xml:space="preserve">Clean session? (Y/N)</t>
  </si>
  <si>
    <t xml:space="preserve">Question ID</t>
  </si>
  <si>
    <t xml:space="preserve">Rep #</t>
  </si>
  <si>
    <t xml:space="preserve">Dr. K named? (Y/N)</t>
  </si>
  <si>
    <t xml:space="preserve">Physicians listed</t>
  </si>
  <si>
    <t xml:space="preserve">#1 named</t>
  </si>
  <si>
    <t xml:space="preserve">#2 named</t>
  </si>
  <si>
    <t xml:space="preserve">Screenshot / file</t>
  </si>
  <si>
    <t xml:space="preserve">Notes</t>
  </si>
  <si>
    <t xml:space="preserve">Valid? (calc)</t>
  </si>
  <si>
    <t xml:space="preserve">Question weight (calc)</t>
  </si>
  <si>
    <t xml:space="preserve">Score 0-100 (calc)</t>
  </si>
  <si>
    <t xml:space="preserve">Weighted score (calc)</t>
  </si>
  <si>
    <t xml:space="preserve">EX-001</t>
  </si>
  <si>
    <t xml:space="preserve">Web search on; San Diego device</t>
  </si>
  <si>
    <t xml:space="preserve">Y</t>
  </si>
  <si>
    <t xml:space="preserve">Example Dr. A</t>
  </si>
  <si>
    <t xml:space="preserve">EX-001_ChatGPT_Q1.png</t>
  </si>
  <si>
    <t xml:space="preserve">EXAMPLE ROW. Ignored by all calculations. Replace with your first real run and change the Run ID so it no longer starts with EX.</t>
  </si>
  <si>
    <t xml:space="preserve">Survey Summary</t>
  </si>
  <si>
    <t xml:space="preserve">All cells calculate from the Run Log. Nothing to type here.</t>
  </si>
  <si>
    <t xml:space="preserve">Survey</t>
  </si>
  <si>
    <t xml:space="preserve">Engines qualified (enough valid runs)</t>
  </si>
  <si>
    <t xml:space="preserve">Named first by (engines)</t>
  </si>
  <si>
    <t xml:space="preserve">In the top two by (engines, incl. first)</t>
  </si>
  <si>
    <t xml:space="preserve">Composite visibility score (0-100)</t>
  </si>
  <si>
    <t xml:space="preserve">Claim status</t>
  </si>
  <si>
    <t xml:space="preserve">Draft wording (review with Dr. K before use)</t>
  </si>
  <si>
    <t xml:space="preserve">By engine</t>
  </si>
  <si>
    <t xml:space="preserve">Valid runs</t>
  </si>
  <si>
    <t xml:space="preserve">Named %</t>
  </si>
  <si>
    <t xml:space="preserve">First %</t>
  </si>
  <si>
    <t xml:space="preserve">Top-2 %</t>
  </si>
  <si>
    <t xml:space="preserve">Top-3 %</t>
  </si>
  <si>
    <t xml:space="preserve">Avg rank when named</t>
  </si>
  <si>
    <t xml:space="preserve">Score 0-100</t>
  </si>
  <si>
    <t xml:space="preserve">Qualified?</t>
  </si>
  <si>
    <t xml:space="preserve">Verdict</t>
  </si>
  <si>
    <t xml:space="preserve">Weighted score</t>
  </si>
  <si>
    <t xml:space="preserve">Weight counted</t>
  </si>
  <si>
    <t xml:space="preserve">By question (all engines)</t>
  </si>
  <si>
    <t xml:space="preserve">Question</t>
  </si>
  <si>
    <t xml:space="preserve">Avg score</t>
  </si>
  <si>
    <t xml:space="preserve">Survey history</t>
  </si>
  <si>
    <t xml:space="preserve">Row 6 updates live from this workbook. Before starting a new survey, save a copy of the file and paste row 6 values into the next blank row (values only).</t>
  </si>
  <si>
    <t xml:space="preserve">Date / label</t>
  </si>
  <si>
    <t xml:space="preserve">Location</t>
  </si>
  <si>
    <t xml:space="preserve">Engines</t>
  </si>
  <si>
    <t xml:space="preserve">First on</t>
  </si>
  <si>
    <t xml:space="preserve">Top two on</t>
  </si>
  <si>
    <t xml:space="preserve">Composite (0-100)</t>
  </si>
  <si>
    <t xml:space="preserve">Source / notes</t>
  </si>
  <si>
    <t xml:space="preserve">Survey 1 (prior)</t>
  </si>
  <si>
    <t xml:space="preserve">Imperial Beach, CA</t>
  </si>
  <si>
    <t xml:space="preserve">From Raj's recollection (first on 4 of 5; fifth engine thought to be #2). Date and per-engine results to be confirmed from survey records before quoting.</t>
  </si>
  <si>
    <t xml:space="preserve">Survey 2 (this workbook)</t>
  </si>
  <si>
    <t xml:space="preserve">Live link to Summary.</t>
  </si>
  <si>
    <t xml:space="preserve">Survey 3</t>
  </si>
  <si>
    <t xml:space="preserve">Survey 4</t>
  </si>
</sst>
</file>

<file path=xl/styles.xml><?xml version="1.0" encoding="utf-8"?>
<styleSheet xmlns="http://schemas.openxmlformats.org/spreadsheetml/2006/main">
  <numFmts count="6">
    <numFmt numFmtId="164" formatCode="General"/>
    <numFmt numFmtId="165" formatCode="0%"/>
    <numFmt numFmtId="166" formatCode="General"/>
    <numFmt numFmtId="167" formatCode="yyyy\-mm\-dd"/>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E3A8A"/>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color rgb="FF7F7F7F"/>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DBEAFE"/>
        <bgColor rgb="FFEDEDED"/>
      </patternFill>
    </fill>
    <fill>
      <patternFill patternType="solid">
        <fgColor rgb="FF1E3A8A"/>
        <bgColor rgb="FF003366"/>
      </patternFill>
    </fill>
    <fill>
      <patternFill patternType="solid">
        <fgColor rgb="FFFFF9DB"/>
        <bgColor rgb="FFF9F9F9"/>
      </patternFill>
    </fill>
    <fill>
      <patternFill patternType="solid">
        <fgColor rgb="FFEDEDED"/>
        <bgColor rgb="FFDBEAF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8" fontId="7"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left" vertical="bottom" textRotation="0" wrapText="false" indent="0" shrinkToFit="false"/>
      <protection locked="true" hidden="false"/>
    </xf>
    <xf numFmtId="169" fontId="7" fillId="5" borderId="1" xfId="0" applyFont="true" applyBorder="true" applyAlignment="true" applyProtection="false">
      <alignment horizontal="left" vertical="bottom" textRotation="0" wrapText="false" indent="0" shrinkToFit="false"/>
      <protection locked="true" hidden="false"/>
    </xf>
    <xf numFmtId="168" fontId="7" fillId="5" borderId="1" xfId="0" applyFont="true" applyBorder="tru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8" fontId="7" fillId="5"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0000"/>
        <sz val="10"/>
      </font>
    </dxf>
    <dxf>
      <fill>
        <patternFill>
          <bgColor rgb="FFC6EFCE"/>
        </patternFill>
      </fill>
    </dxf>
    <dxf>
      <fill>
        <patternFill>
          <bgColor rgb="FFFFEB9C"/>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DBEAF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F9F9F9"/>
      <rgbColor rgb="FFFF99CC"/>
      <rgbColor rgb="FFCC99FF"/>
      <rgbColor rgb="FFFFC7CE"/>
      <rgbColor rgb="FF4F81BD"/>
      <rgbColor rgb="FF33CCCC"/>
      <rgbColor rgb="FF99CC00"/>
      <rgbColor rgb="FFFFCC00"/>
      <rgbColor rgb="FFFF9900"/>
      <rgbColor rgb="FFFF6600"/>
      <rgbColor rgb="FF595959"/>
      <rgbColor rgb="FF878787"/>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Score by engine (0-100)</a:t>
            </a:r>
          </a:p>
        </c:rich>
      </c:tx>
      <c:overlay val="0"/>
      <c:spPr>
        <a:noFill/>
        <a:ln w="0">
          <a:noFill/>
        </a:ln>
      </c:spPr>
    </c:title>
    <c:autoTitleDeleted val="0"/>
    <c:plotArea>
      <c:barChart>
        <c:barDir val="col"/>
        <c:grouping val="clustered"/>
        <c:varyColors val="0"/>
        <c:ser>
          <c:idx val="0"/>
          <c:order val="0"/>
          <c:tx>
            <c:strRef>
              <c:f>Summary!I14</c:f>
              <c:strCache>
                <c:ptCount val="1"/>
                <c:pt idx="0">
                  <c:v>Score 0-100</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Summary!$A$15:$A$22</c:f>
              <c:strCache>
                <c:ptCount val="8"/>
                <c:pt idx="0">
                  <c:v>ChatGPT</c:v>
                </c:pt>
                <c:pt idx="1">
                  <c:v>Gemini</c:v>
                </c:pt>
                <c:pt idx="2">
                  <c:v>Google AI Overviews / AI Mode</c:v>
                </c:pt>
                <c:pt idx="3">
                  <c:v>Perplexity</c:v>
                </c:pt>
                <c:pt idx="4">
                  <c:v>Claude</c:v>
                </c:pt>
                <c:pt idx="5">
                  <c:v>Microsoft Copilot</c:v>
                </c:pt>
                <c:pt idx="6">
                  <c:v>Grok</c:v>
                </c:pt>
                <c:pt idx="7">
                  <c:v>Meta AI</c:v>
                </c:pt>
              </c:strCache>
            </c:strRef>
          </c:cat>
          <c:val>
            <c:numRef>
              <c:f>Summary!$I$15:$I$22</c:f>
              <c:numCache>
                <c:formatCode>General</c:formatCode>
                <c:ptCount val="8"/>
              </c:numCache>
            </c:numRef>
          </c:val>
        </c:ser>
        <c:gapWidth val="150"/>
        <c:overlap val="0"/>
        <c:axId val="47362491"/>
        <c:axId val="68811903"/>
      </c:barChart>
      <c:catAx>
        <c:axId val="473624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811903"/>
        <c:crosses val="autoZero"/>
        <c:auto val="1"/>
        <c:lblAlgn val="ctr"/>
        <c:lblOffset val="100"/>
        <c:noMultiLvlLbl val="0"/>
      </c:catAx>
      <c:valAx>
        <c:axId val="68811903"/>
        <c:scaling>
          <c:orientation val="minMax"/>
          <c:max val="100"/>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36249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22</xdr:row>
      <xdr:rowOff>160920</xdr:rowOff>
    </xdr:from>
    <xdr:to>
      <xdr:col>13</xdr:col>
      <xdr:colOff>551160</xdr:colOff>
      <xdr:row>37</xdr:row>
      <xdr:rowOff>2880</xdr:rowOff>
    </xdr:to>
    <xdr:graphicFrame>
      <xdr:nvGraphicFramePr>
        <xdr:cNvPr id="0" name="Chart 1"/>
        <xdr:cNvGraphicFramePr/>
      </xdr:nvGraphicFramePr>
      <xdr:xfrm>
        <a:off x="7330320" y="508644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1" customFormat="false" ht="17.35" hidden="false" customHeight="false" outlineLevel="0" collapsed="false">
      <c r="B1" s="1" t="s">
        <v>0</v>
      </c>
    </row>
    <row r="2" customFormat="false" ht="15" hidden="false" customHeight="false" outlineLevel="0" collapsed="false">
      <c r="B2" s="2" t="s">
        <v>1</v>
      </c>
    </row>
    <row r="4" customFormat="false" ht="30" hidden="false" customHeight="true" outlineLevel="0" collapsed="false">
      <c r="B4" s="3" t="s">
        <v>2</v>
      </c>
      <c r="C4" s="4" t="s">
        <v>3</v>
      </c>
    </row>
    <row r="5" customFormat="false" ht="15" hidden="false" customHeight="true" outlineLevel="0" collapsed="false">
      <c r="B5" s="5" t="s">
        <v>4</v>
      </c>
      <c r="C5" s="6"/>
    </row>
    <row r="6" customFormat="false" ht="15" hidden="false" customHeight="true" outlineLevel="0" collapsed="false">
      <c r="B6" s="3" t="s">
        <v>5</v>
      </c>
      <c r="C6" s="4" t="s">
        <v>6</v>
      </c>
    </row>
    <row r="7" customFormat="false" ht="30" hidden="false" customHeight="true" outlineLevel="0" collapsed="false">
      <c r="B7" s="3" t="s">
        <v>7</v>
      </c>
      <c r="C7" s="4" t="s">
        <v>8</v>
      </c>
    </row>
    <row r="8" customFormat="false" ht="15" hidden="false" customHeight="true" outlineLevel="0" collapsed="false">
      <c r="B8" s="3" t="s">
        <v>9</v>
      </c>
      <c r="C8" s="4" t="s">
        <v>10</v>
      </c>
    </row>
    <row r="9" customFormat="false" ht="30" hidden="false" customHeight="true" outlineLevel="0" collapsed="false">
      <c r="B9" s="3" t="s">
        <v>11</v>
      </c>
      <c r="C9" s="4" t="s">
        <v>12</v>
      </c>
    </row>
    <row r="10" customFormat="false" ht="30" hidden="false" customHeight="true" outlineLevel="0" collapsed="false">
      <c r="B10" s="3" t="s">
        <v>13</v>
      </c>
      <c r="C10" s="4" t="s">
        <v>14</v>
      </c>
    </row>
    <row r="11" customFormat="false" ht="30" hidden="false" customHeight="true" outlineLevel="0" collapsed="false">
      <c r="B11" s="3" t="s">
        <v>15</v>
      </c>
      <c r="C11" s="4" t="s">
        <v>16</v>
      </c>
    </row>
    <row r="12" customFormat="false" ht="45" hidden="false" customHeight="true" outlineLevel="0" collapsed="false">
      <c r="B12" s="3" t="s">
        <v>17</v>
      </c>
      <c r="C12" s="4" t="s">
        <v>18</v>
      </c>
    </row>
    <row r="13" customFormat="false" ht="60" hidden="false" customHeight="true" outlineLevel="0" collapsed="false">
      <c r="B13" s="3" t="s">
        <v>19</v>
      </c>
      <c r="C13" s="4" t="s">
        <v>20</v>
      </c>
    </row>
    <row r="14" customFormat="false" ht="45" hidden="false" customHeight="true" outlineLevel="0" collapsed="false">
      <c r="B14" s="3" t="s">
        <v>21</v>
      </c>
      <c r="C14" s="4" t="s">
        <v>22</v>
      </c>
    </row>
    <row r="15" customFormat="false" ht="15" hidden="false" customHeight="true" outlineLevel="0" collapsed="false">
      <c r="B15" s="3" t="s">
        <v>23</v>
      </c>
      <c r="C15" s="4" t="s">
        <v>24</v>
      </c>
    </row>
    <row r="16" customFormat="false" ht="45" hidden="false" customHeight="true" outlineLevel="0" collapsed="false">
      <c r="B16" s="3" t="s">
        <v>25</v>
      </c>
      <c r="C16" s="4" t="s">
        <v>26</v>
      </c>
    </row>
    <row r="17" customFormat="false" ht="45" hidden="false" customHeight="true" outlineLevel="0" collapsed="false">
      <c r="B17" s="3" t="s">
        <v>27</v>
      </c>
      <c r="C17" s="4" t="s">
        <v>28</v>
      </c>
    </row>
    <row r="18" customFormat="false" ht="45" hidden="false" customHeight="true" outlineLevel="0" collapsed="false">
      <c r="B18" s="3" t="s">
        <v>29</v>
      </c>
      <c r="C18" s="4" t="s">
        <v>30</v>
      </c>
    </row>
    <row r="19" customFormat="false" ht="30" hidden="false" customHeight="true" outlineLevel="0" collapsed="false">
      <c r="B19" s="3" t="s">
        <v>31</v>
      </c>
      <c r="C19" s="4" t="s">
        <v>32</v>
      </c>
    </row>
    <row r="20" customFormat="false" ht="60" hidden="false" customHeight="true" outlineLevel="0" collapsed="false">
      <c r="B20" s="3" t="s">
        <v>33</v>
      </c>
      <c r="C20" s="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70"/>
  </cols>
  <sheetData>
    <row r="1" customFormat="false" ht="17.35" hidden="false" customHeight="false" outlineLevel="0" collapsed="false">
      <c r="A1" s="1" t="s">
        <v>35</v>
      </c>
    </row>
    <row r="2" customFormat="false" ht="15" hidden="false" customHeight="false" outlineLevel="0" collapsed="false">
      <c r="A2" s="2" t="s">
        <v>36</v>
      </c>
    </row>
    <row r="3" customFormat="false" ht="15" hidden="false" customHeight="false" outlineLevel="0" collapsed="false">
      <c r="A3" s="7" t="s">
        <v>37</v>
      </c>
      <c r="B3" s="7" t="s">
        <v>38</v>
      </c>
      <c r="C3" s="7" t="s">
        <v>39</v>
      </c>
    </row>
    <row r="4" customFormat="false" ht="15" hidden="false" customHeight="false" outlineLevel="0" collapsed="false">
      <c r="A4" s="8" t="s">
        <v>40</v>
      </c>
      <c r="B4" s="9" t="s">
        <v>41</v>
      </c>
      <c r="C4" s="10" t="s">
        <v>42</v>
      </c>
    </row>
    <row r="5" customFormat="false" ht="15" hidden="false" customHeight="false" outlineLevel="0" collapsed="false">
      <c r="A5" s="8" t="s">
        <v>43</v>
      </c>
      <c r="B5" s="9" t="s">
        <v>44</v>
      </c>
      <c r="C5" s="10" t="s">
        <v>45</v>
      </c>
    </row>
    <row r="6" customFormat="false" ht="15" hidden="false" customHeight="false" outlineLevel="0" collapsed="false">
      <c r="A6" s="8" t="s">
        <v>46</v>
      </c>
      <c r="B6" s="9" t="s">
        <v>47</v>
      </c>
      <c r="C6" s="10" t="s">
        <v>48</v>
      </c>
    </row>
    <row r="7" customFormat="false" ht="15" hidden="false" customHeight="false" outlineLevel="0" collapsed="false">
      <c r="A7" s="8" t="s">
        <v>49</v>
      </c>
      <c r="B7" s="9" t="s">
        <v>50</v>
      </c>
      <c r="C7" s="10" t="s">
        <v>51</v>
      </c>
    </row>
    <row r="8" customFormat="false" ht="15" hidden="false" customHeight="false" outlineLevel="0" collapsed="false">
      <c r="A8" s="8" t="s">
        <v>52</v>
      </c>
      <c r="B8" s="11" t="n">
        <v>0.5</v>
      </c>
      <c r="C8" s="10" t="s">
        <v>53</v>
      </c>
    </row>
    <row r="9" customFormat="false" ht="15" hidden="false" customHeight="false" outlineLevel="0" collapsed="false">
      <c r="A9" s="8" t="s">
        <v>54</v>
      </c>
      <c r="B9" s="9" t="n">
        <v>6</v>
      </c>
      <c r="C9" s="10" t="s">
        <v>55</v>
      </c>
    </row>
    <row r="10" customFormat="false" ht="15" hidden="false" customHeight="false" outlineLevel="0" collapsed="false">
      <c r="A10" s="8" t="s">
        <v>56</v>
      </c>
      <c r="B10" s="9" t="n">
        <v>5</v>
      </c>
      <c r="C10" s="10" t="s">
        <v>57</v>
      </c>
    </row>
    <row r="13" customFormat="false" ht="15" hidden="false" customHeight="false" outlineLevel="0" collapsed="false">
      <c r="A13" s="12" t="s">
        <v>58</v>
      </c>
    </row>
    <row r="14" customFormat="false" ht="15" hidden="false" customHeight="false" outlineLevel="0" collapsed="false">
      <c r="A14" s="7" t="s">
        <v>59</v>
      </c>
      <c r="B14" s="7" t="s">
        <v>60</v>
      </c>
      <c r="C14" s="7" t="s">
        <v>39</v>
      </c>
    </row>
    <row r="15" customFormat="false" ht="15" hidden="false" customHeight="false" outlineLevel="0" collapsed="false">
      <c r="A15" s="13" t="n">
        <v>1</v>
      </c>
      <c r="B15" s="9" t="n">
        <v>10</v>
      </c>
      <c r="C15" s="14" t="s">
        <v>61</v>
      </c>
    </row>
    <row r="16" customFormat="false" ht="15" hidden="false" customHeight="false" outlineLevel="0" collapsed="false">
      <c r="A16" s="13" t="n">
        <v>2</v>
      </c>
      <c r="B16" s="9" t="n">
        <v>7</v>
      </c>
      <c r="C16" s="14"/>
    </row>
    <row r="17" customFormat="false" ht="15" hidden="false" customHeight="false" outlineLevel="0" collapsed="false">
      <c r="A17" s="13" t="n">
        <v>3</v>
      </c>
      <c r="B17" s="9" t="n">
        <v>5</v>
      </c>
      <c r="C17" s="14"/>
    </row>
    <row r="18" customFormat="false" ht="15" hidden="false" customHeight="false" outlineLevel="0" collapsed="false">
      <c r="A18" s="13" t="n">
        <v>4</v>
      </c>
      <c r="B18" s="9" t="n">
        <v>3</v>
      </c>
      <c r="C18" s="14"/>
    </row>
    <row r="19" customFormat="false" ht="15" hidden="false" customHeight="false" outlineLevel="0" collapsed="false">
      <c r="A19" s="13" t="n">
        <v>5</v>
      </c>
      <c r="B19" s="9" t="n">
        <v>2</v>
      </c>
      <c r="C19" s="14"/>
    </row>
    <row r="20" customFormat="false" ht="15" hidden="false" customHeight="false" outlineLevel="0" collapsed="false">
      <c r="A20" s="13" t="n">
        <v>6</v>
      </c>
      <c r="B20" s="9" t="n">
        <v>1</v>
      </c>
      <c r="C20" s="14" t="s">
        <v>62</v>
      </c>
    </row>
    <row r="21" customFormat="false" ht="15" hidden="false" customHeight="false" outlineLevel="0" collapsed="false">
      <c r="A21" s="15" t="s">
        <v>63</v>
      </c>
      <c r="B21" s="15" t="n">
        <v>0</v>
      </c>
      <c r="C21" s="14" t="s">
        <v>64</v>
      </c>
    </row>
    <row r="22" customFormat="false" ht="15" hidden="false" customHeight="false" outlineLevel="0" collapsed="false">
      <c r="A22" s="8" t="s">
        <v>65</v>
      </c>
      <c r="B22" s="16" t="n">
        <f aca="false">MAX(B15:B20)</f>
        <v>10</v>
      </c>
      <c r="C22" s="14"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82"/>
    <col collapsed="false" customWidth="true" hidden="false" outlineLevel="0" max="4" min="4" style="0" width="10"/>
    <col collapsed="false" customWidth="true" hidden="false" outlineLevel="0" max="5" min="5" style="0" width="48"/>
  </cols>
  <sheetData>
    <row r="1" customFormat="false" ht="17.35" hidden="false" customHeight="false" outlineLevel="0" collapsed="false">
      <c r="A1" s="1" t="s">
        <v>67</v>
      </c>
    </row>
    <row r="2" customFormat="false" ht="15" hidden="false" customHeight="false" outlineLevel="0" collapsed="false">
      <c r="A2" s="2" t="s">
        <v>68</v>
      </c>
    </row>
    <row r="4" customFormat="false" ht="15" hidden="false" customHeight="false" outlineLevel="0" collapsed="false">
      <c r="A4" s="7" t="s">
        <v>69</v>
      </c>
      <c r="B4" s="7" t="s">
        <v>70</v>
      </c>
      <c r="C4" s="7" t="s">
        <v>71</v>
      </c>
      <c r="D4" s="7" t="s">
        <v>72</v>
      </c>
      <c r="E4" s="7" t="s">
        <v>73</v>
      </c>
    </row>
    <row r="5" customFormat="false" ht="30" hidden="false" customHeight="true" outlineLevel="0" collapsed="false">
      <c r="A5" s="17" t="s">
        <v>74</v>
      </c>
      <c r="B5" s="17" t="s">
        <v>75</v>
      </c>
      <c r="C5" s="18" t="s">
        <v>76</v>
      </c>
      <c r="D5" s="18" t="n">
        <v>1</v>
      </c>
      <c r="E5" s="10" t="s">
        <v>77</v>
      </c>
    </row>
    <row r="6" customFormat="false" ht="30" hidden="false" customHeight="true" outlineLevel="0" collapsed="false">
      <c r="A6" s="17" t="s">
        <v>78</v>
      </c>
      <c r="B6" s="17" t="s">
        <v>79</v>
      </c>
      <c r="C6" s="18" t="s">
        <v>80</v>
      </c>
      <c r="D6" s="18" t="n">
        <v>1</v>
      </c>
      <c r="E6" s="10" t="s">
        <v>81</v>
      </c>
    </row>
    <row r="7" customFormat="false" ht="30" hidden="false" customHeight="true" outlineLevel="0" collapsed="false">
      <c r="A7" s="17" t="s">
        <v>82</v>
      </c>
      <c r="B7" s="17" t="s">
        <v>83</v>
      </c>
      <c r="C7" s="18" t="s">
        <v>84</v>
      </c>
      <c r="D7" s="18" t="n">
        <v>1</v>
      </c>
      <c r="E7" s="10" t="s">
        <v>85</v>
      </c>
    </row>
    <row r="8" customFormat="false" ht="30" hidden="false" customHeight="true" outlineLevel="0" collapsed="false">
      <c r="A8" s="17" t="s">
        <v>86</v>
      </c>
      <c r="B8" s="17" t="s">
        <v>87</v>
      </c>
      <c r="C8" s="18" t="s">
        <v>88</v>
      </c>
      <c r="D8" s="18" t="n">
        <v>1</v>
      </c>
      <c r="E8" s="10" t="s">
        <v>89</v>
      </c>
    </row>
    <row r="9" customFormat="false" ht="30" hidden="false" customHeight="true" outlineLevel="0" collapsed="false">
      <c r="A9" s="17" t="s">
        <v>90</v>
      </c>
      <c r="B9" s="17" t="s">
        <v>91</v>
      </c>
      <c r="C9" s="18" t="s">
        <v>92</v>
      </c>
      <c r="D9" s="18" t="n">
        <v>1</v>
      </c>
      <c r="E9" s="10" t="s">
        <v>93</v>
      </c>
    </row>
    <row r="10" customFormat="false" ht="30" hidden="false" customHeight="true" outlineLevel="0" collapsed="false">
      <c r="A10" s="17" t="s">
        <v>94</v>
      </c>
      <c r="B10" s="17" t="s">
        <v>95</v>
      </c>
      <c r="C10" s="18" t="s">
        <v>96</v>
      </c>
      <c r="D10" s="18" t="n">
        <v>1</v>
      </c>
      <c r="E10" s="10"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 collapsed="false" customWidth="true" hidden="false" outlineLevel="0" max="3" min="3" style="0" width="10"/>
  </cols>
  <sheetData>
    <row r="1" customFormat="false" ht="17.35" hidden="false" customHeight="false" outlineLevel="0" collapsed="false">
      <c r="A1" s="1" t="s">
        <v>98</v>
      </c>
    </row>
    <row r="2" customFormat="false" ht="15" hidden="false" customHeight="false" outlineLevel="0" collapsed="false">
      <c r="A2" s="2" t="s">
        <v>99</v>
      </c>
    </row>
    <row r="4" customFormat="false" ht="15" hidden="false" customHeight="false" outlineLevel="0" collapsed="false">
      <c r="A4" s="7" t="s">
        <v>100</v>
      </c>
      <c r="B4" s="7" t="s">
        <v>101</v>
      </c>
      <c r="C4" s="7" t="s">
        <v>72</v>
      </c>
    </row>
    <row r="5" customFormat="false" ht="15" hidden="false" customHeight="false" outlineLevel="0" collapsed="false">
      <c r="A5" s="9" t="s">
        <v>102</v>
      </c>
      <c r="B5" s="14" t="s">
        <v>103</v>
      </c>
      <c r="C5" s="9" t="n">
        <v>1</v>
      </c>
    </row>
    <row r="6" customFormat="false" ht="15" hidden="false" customHeight="false" outlineLevel="0" collapsed="false">
      <c r="A6" s="9" t="s">
        <v>104</v>
      </c>
      <c r="B6" s="14" t="s">
        <v>103</v>
      </c>
      <c r="C6" s="9" t="n">
        <v>1</v>
      </c>
    </row>
    <row r="7" customFormat="false" ht="15" hidden="false" customHeight="false" outlineLevel="0" collapsed="false">
      <c r="A7" s="9" t="s">
        <v>105</v>
      </c>
      <c r="B7" s="14" t="s">
        <v>103</v>
      </c>
      <c r="C7" s="9" t="n">
        <v>1</v>
      </c>
    </row>
    <row r="8" customFormat="false" ht="15" hidden="false" customHeight="false" outlineLevel="0" collapsed="false">
      <c r="A8" s="9" t="s">
        <v>106</v>
      </c>
      <c r="B8" s="14" t="s">
        <v>103</v>
      </c>
      <c r="C8" s="9" t="n">
        <v>1</v>
      </c>
    </row>
    <row r="9" customFormat="false" ht="15" hidden="false" customHeight="false" outlineLevel="0" collapsed="false">
      <c r="A9" s="9" t="s">
        <v>107</v>
      </c>
      <c r="B9" s="14" t="s">
        <v>103</v>
      </c>
      <c r="C9" s="9" t="n">
        <v>1</v>
      </c>
    </row>
    <row r="10" customFormat="false" ht="15" hidden="false" customHeight="false" outlineLevel="0" collapsed="false">
      <c r="A10" s="9" t="s">
        <v>108</v>
      </c>
      <c r="B10" s="14" t="s">
        <v>103</v>
      </c>
      <c r="C10" s="9" t="n">
        <v>1</v>
      </c>
    </row>
    <row r="11" customFormat="false" ht="15" hidden="false" customHeight="false" outlineLevel="0" collapsed="false">
      <c r="A11" s="9" t="s">
        <v>109</v>
      </c>
      <c r="B11" s="14" t="s">
        <v>103</v>
      </c>
      <c r="C11" s="9" t="n">
        <v>1</v>
      </c>
    </row>
    <row r="12" customFormat="false" ht="15" hidden="false" customHeight="false" outlineLevel="0" collapsed="false">
      <c r="A12" s="9" t="s">
        <v>110</v>
      </c>
      <c r="B12" s="14" t="s">
        <v>103</v>
      </c>
      <c r="C12" s="9"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8"/>
    <col collapsed="false" customWidth="true" hidden="false" outlineLevel="0" max="4" min="4" style="0" width="26"/>
    <col collapsed="false" customWidth="true" hidden="false" outlineLevel="0" max="6" min="5" style="0" width="11"/>
    <col collapsed="false" customWidth="true" hidden="false" outlineLevel="0" max="7" min="7" style="0" width="10"/>
    <col collapsed="false" customWidth="true" hidden="false" outlineLevel="0" max="8" min="8" style="0" width="7"/>
    <col collapsed="false" customWidth="true" hidden="false" outlineLevel="0" max="9" min="9" style="0" width="12"/>
    <col collapsed="false" customWidth="true" hidden="false" outlineLevel="0" max="10" min="10" style="0" width="10"/>
    <col collapsed="false" customWidth="true" hidden="false" outlineLevel="0" max="11" min="11" style="0" width="11"/>
    <col collapsed="false" customWidth="true" hidden="false" outlineLevel="0" max="13" min="12" style="0" width="24"/>
    <col collapsed="false" customWidth="true" hidden="false" outlineLevel="0" max="14" min="14" style="0" width="26"/>
    <col collapsed="false" customWidth="true" hidden="false" outlineLevel="0" max="15" min="15" style="0" width="34"/>
    <col collapsed="false" customWidth="true" hidden="false" outlineLevel="0" max="16" min="16" style="0" width="10"/>
    <col collapsed="false" customWidth="true" hidden="false" outlineLevel="0" max="19" min="17" style="0" width="11"/>
  </cols>
  <sheetData>
    <row r="1" customFormat="false" ht="17.35" hidden="false" customHeight="false" outlineLevel="0" collapsed="false">
      <c r="A1" s="1" t="s">
        <v>111</v>
      </c>
    </row>
    <row r="2" customFormat="false" ht="15" hidden="false" customHeight="false" outlineLevel="0" collapsed="false">
      <c r="A2" s="2" t="s">
        <v>112</v>
      </c>
    </row>
    <row r="3" customFormat="false" ht="15" hidden="false" customHeight="false" outlineLevel="0" collapsed="false">
      <c r="A3" s="2" t="s">
        <v>113</v>
      </c>
    </row>
    <row r="5" customFormat="false" ht="42" hidden="false" customHeight="true" outlineLevel="0" collapsed="false">
      <c r="A5" s="7" t="s">
        <v>114</v>
      </c>
      <c r="B5" s="7" t="s">
        <v>115</v>
      </c>
      <c r="C5" s="7" t="s">
        <v>100</v>
      </c>
      <c r="D5" s="7" t="s">
        <v>116</v>
      </c>
      <c r="E5" s="7" t="s">
        <v>117</v>
      </c>
      <c r="F5" s="7" t="s">
        <v>118</v>
      </c>
      <c r="G5" s="7" t="s">
        <v>119</v>
      </c>
      <c r="H5" s="7" t="s">
        <v>120</v>
      </c>
      <c r="I5" s="7" t="s">
        <v>121</v>
      </c>
      <c r="J5" s="7" t="s">
        <v>59</v>
      </c>
      <c r="K5" s="7" t="s">
        <v>122</v>
      </c>
      <c r="L5" s="7" t="s">
        <v>123</v>
      </c>
      <c r="M5" s="7" t="s">
        <v>124</v>
      </c>
      <c r="N5" s="7" t="s">
        <v>125</v>
      </c>
      <c r="O5" s="7" t="s">
        <v>126</v>
      </c>
      <c r="P5" s="7" t="s">
        <v>127</v>
      </c>
      <c r="Q5" s="7" t="s">
        <v>128</v>
      </c>
      <c r="R5" s="7" t="s">
        <v>129</v>
      </c>
      <c r="S5" s="7" t="s">
        <v>130</v>
      </c>
    </row>
    <row r="6" customFormat="false" ht="15" hidden="false" customHeight="false" outlineLevel="0" collapsed="false">
      <c r="A6" s="19" t="s">
        <v>131</v>
      </c>
      <c r="B6" s="20" t="n">
        <v>46300</v>
      </c>
      <c r="C6" s="19" t="s">
        <v>102</v>
      </c>
      <c r="D6" s="19" t="s">
        <v>132</v>
      </c>
      <c r="E6" s="19" t="s">
        <v>133</v>
      </c>
      <c r="F6" s="19" t="s">
        <v>133</v>
      </c>
      <c r="G6" s="19" t="s">
        <v>74</v>
      </c>
      <c r="H6" s="19" t="n">
        <v>1</v>
      </c>
      <c r="I6" s="19" t="s">
        <v>133</v>
      </c>
      <c r="J6" s="19" t="n">
        <v>2</v>
      </c>
      <c r="K6" s="19" t="n">
        <v>5</v>
      </c>
      <c r="L6" s="19" t="s">
        <v>134</v>
      </c>
      <c r="M6" s="19" t="s">
        <v>44</v>
      </c>
      <c r="N6" s="19" t="s">
        <v>135</v>
      </c>
      <c r="O6" s="19" t="s">
        <v>136</v>
      </c>
      <c r="P6" s="21" t="str">
        <f aca="false">IF(OR(A6="",LEFT(A6,2)="EX"),"",IF(AND(C6&lt;&gt;"",G6&lt;&gt;"",F6="Y",OR(I6="N",AND(I6="Y",ISNUMBER(J6)))),"Y","N"))</f>
        <v/>
      </c>
      <c r="Q6" s="22" t="str">
        <f aca="false">IF(P6="Y",IFERROR(INDEX(Questions!$D$5:$D$10,MATCH(G6,Questions!$A$5:$A$10,0)),1),"")</f>
        <v/>
      </c>
      <c r="R6" s="22" t="str">
        <f aca="false">IF(P6&lt;&gt;"Y","",IF(I6="N",0,INDEX(Settings!$B$15:$B$20,MATCH(MIN(J6,6),Settings!$A$15:$A$20,0))/Settings!$B$22*100))</f>
        <v/>
      </c>
      <c r="S6" s="22" t="str">
        <f aca="false">IF(P6="Y",R6*Q6,"")</f>
        <v/>
      </c>
    </row>
    <row r="7" customFormat="false" ht="15" hidden="false" customHeight="false" outlineLevel="0" collapsed="false">
      <c r="A7" s="9"/>
      <c r="B7" s="23"/>
      <c r="C7" s="9"/>
      <c r="D7" s="9"/>
      <c r="E7" s="9"/>
      <c r="F7" s="9"/>
      <c r="G7" s="9"/>
      <c r="H7" s="9"/>
      <c r="I7" s="9"/>
      <c r="J7" s="9"/>
      <c r="K7" s="9"/>
      <c r="L7" s="9"/>
      <c r="M7" s="9"/>
      <c r="N7" s="9"/>
      <c r="O7" s="9"/>
      <c r="P7" s="21" t="str">
        <f aca="false">IF(OR(A7="",LEFT(A7,2)="EX"),"",IF(AND(C7&lt;&gt;"",G7&lt;&gt;"",F7="Y",OR(I7="N",AND(I7="Y",ISNUMBER(J7)))),"Y","N"))</f>
        <v/>
      </c>
      <c r="Q7" s="22" t="str">
        <f aca="false">IF(P7="Y",IFERROR(INDEX(Questions!$D$5:$D$10,MATCH(G7,Questions!$A$5:$A$10,0)),1),"")</f>
        <v/>
      </c>
      <c r="R7" s="22" t="str">
        <f aca="false">IF(P7&lt;&gt;"Y","",IF(I7="N",0,INDEX(Settings!$B$15:$B$20,MATCH(MIN(J7,6),Settings!$A$15:$A$20,0))/Settings!$B$22*100))</f>
        <v/>
      </c>
      <c r="S7" s="22" t="str">
        <f aca="false">IF(P7="Y",R7*Q7,"")</f>
        <v/>
      </c>
    </row>
    <row r="8" customFormat="false" ht="15" hidden="false" customHeight="false" outlineLevel="0" collapsed="false">
      <c r="A8" s="9"/>
      <c r="B8" s="23"/>
      <c r="C8" s="9"/>
      <c r="D8" s="9"/>
      <c r="E8" s="9"/>
      <c r="F8" s="9"/>
      <c r="G8" s="9"/>
      <c r="H8" s="9"/>
      <c r="I8" s="9"/>
      <c r="J8" s="9"/>
      <c r="K8" s="9"/>
      <c r="L8" s="9"/>
      <c r="M8" s="9"/>
      <c r="N8" s="9"/>
      <c r="O8" s="9"/>
      <c r="P8" s="21" t="str">
        <f aca="false">IF(OR(A8="",LEFT(A8,2)="EX"),"",IF(AND(C8&lt;&gt;"",G8&lt;&gt;"",F8="Y",OR(I8="N",AND(I8="Y",ISNUMBER(J8)))),"Y","N"))</f>
        <v/>
      </c>
      <c r="Q8" s="22" t="str">
        <f aca="false">IF(P8="Y",IFERROR(INDEX(Questions!$D$5:$D$10,MATCH(G8,Questions!$A$5:$A$10,0)),1),"")</f>
        <v/>
      </c>
      <c r="R8" s="22" t="str">
        <f aca="false">IF(P8&lt;&gt;"Y","",IF(I8="N",0,INDEX(Settings!$B$15:$B$20,MATCH(MIN(J8,6),Settings!$A$15:$A$20,0))/Settings!$B$22*100))</f>
        <v/>
      </c>
      <c r="S8" s="22" t="str">
        <f aca="false">IF(P8="Y",R8*Q8,"")</f>
        <v/>
      </c>
    </row>
    <row r="9" customFormat="false" ht="15" hidden="false" customHeight="false" outlineLevel="0" collapsed="false">
      <c r="A9" s="9"/>
      <c r="B9" s="23"/>
      <c r="C9" s="9"/>
      <c r="D9" s="9"/>
      <c r="E9" s="9"/>
      <c r="F9" s="9"/>
      <c r="G9" s="9"/>
      <c r="H9" s="9"/>
      <c r="I9" s="9"/>
      <c r="J9" s="9"/>
      <c r="K9" s="9"/>
      <c r="L9" s="9"/>
      <c r="M9" s="9"/>
      <c r="N9" s="9"/>
      <c r="O9" s="9"/>
      <c r="P9" s="21" t="str">
        <f aca="false">IF(OR(A9="",LEFT(A9,2)="EX"),"",IF(AND(C9&lt;&gt;"",G9&lt;&gt;"",F9="Y",OR(I9="N",AND(I9="Y",ISNUMBER(J9)))),"Y","N"))</f>
        <v/>
      </c>
      <c r="Q9" s="22" t="str">
        <f aca="false">IF(P9="Y",IFERROR(INDEX(Questions!$D$5:$D$10,MATCH(G9,Questions!$A$5:$A$10,0)),1),"")</f>
        <v/>
      </c>
      <c r="R9" s="22" t="str">
        <f aca="false">IF(P9&lt;&gt;"Y","",IF(I9="N",0,INDEX(Settings!$B$15:$B$20,MATCH(MIN(J9,6),Settings!$A$15:$A$20,0))/Settings!$B$22*100))</f>
        <v/>
      </c>
      <c r="S9" s="22" t="str">
        <f aca="false">IF(P9="Y",R9*Q9,"")</f>
        <v/>
      </c>
    </row>
    <row r="10" customFormat="false" ht="15" hidden="false" customHeight="false" outlineLevel="0" collapsed="false">
      <c r="A10" s="9"/>
      <c r="B10" s="23"/>
      <c r="C10" s="9"/>
      <c r="D10" s="9"/>
      <c r="E10" s="9"/>
      <c r="F10" s="9"/>
      <c r="G10" s="9"/>
      <c r="H10" s="9"/>
      <c r="I10" s="9"/>
      <c r="J10" s="9"/>
      <c r="K10" s="9"/>
      <c r="L10" s="9"/>
      <c r="M10" s="9"/>
      <c r="N10" s="9"/>
      <c r="O10" s="9"/>
      <c r="P10" s="21" t="str">
        <f aca="false">IF(OR(A10="",LEFT(A10,2)="EX"),"",IF(AND(C10&lt;&gt;"",G10&lt;&gt;"",F10="Y",OR(I10="N",AND(I10="Y",ISNUMBER(J10)))),"Y","N"))</f>
        <v/>
      </c>
      <c r="Q10" s="22" t="str">
        <f aca="false">IF(P10="Y",IFERROR(INDEX(Questions!$D$5:$D$10,MATCH(G10,Questions!$A$5:$A$10,0)),1),"")</f>
        <v/>
      </c>
      <c r="R10" s="22" t="str">
        <f aca="false">IF(P10&lt;&gt;"Y","",IF(I10="N",0,INDEX(Settings!$B$15:$B$20,MATCH(MIN(J10,6),Settings!$A$15:$A$20,0))/Settings!$B$22*100))</f>
        <v/>
      </c>
      <c r="S10" s="22" t="str">
        <f aca="false">IF(P10="Y",R10*Q10,"")</f>
        <v/>
      </c>
    </row>
    <row r="11" customFormat="false" ht="15" hidden="false" customHeight="false" outlineLevel="0" collapsed="false">
      <c r="A11" s="9"/>
      <c r="B11" s="23"/>
      <c r="C11" s="9"/>
      <c r="D11" s="9"/>
      <c r="E11" s="9"/>
      <c r="F11" s="9"/>
      <c r="G11" s="9"/>
      <c r="H11" s="9"/>
      <c r="I11" s="9"/>
      <c r="J11" s="9"/>
      <c r="K11" s="9"/>
      <c r="L11" s="9"/>
      <c r="M11" s="9"/>
      <c r="N11" s="9"/>
      <c r="O11" s="9"/>
      <c r="P11" s="21" t="str">
        <f aca="false">IF(OR(A11="",LEFT(A11,2)="EX"),"",IF(AND(C11&lt;&gt;"",G11&lt;&gt;"",F11="Y",OR(I11="N",AND(I11="Y",ISNUMBER(J11)))),"Y","N"))</f>
        <v/>
      </c>
      <c r="Q11" s="22" t="str">
        <f aca="false">IF(P11="Y",IFERROR(INDEX(Questions!$D$5:$D$10,MATCH(G11,Questions!$A$5:$A$10,0)),1),"")</f>
        <v/>
      </c>
      <c r="R11" s="22" t="str">
        <f aca="false">IF(P11&lt;&gt;"Y","",IF(I11="N",0,INDEX(Settings!$B$15:$B$20,MATCH(MIN(J11,6),Settings!$A$15:$A$20,0))/Settings!$B$22*100))</f>
        <v/>
      </c>
      <c r="S11" s="22" t="str">
        <f aca="false">IF(P11="Y",R11*Q11,"")</f>
        <v/>
      </c>
    </row>
    <row r="12" customFormat="false" ht="15" hidden="false" customHeight="false" outlineLevel="0" collapsed="false">
      <c r="A12" s="9"/>
      <c r="B12" s="23"/>
      <c r="C12" s="9"/>
      <c r="D12" s="9"/>
      <c r="E12" s="9"/>
      <c r="F12" s="9"/>
      <c r="G12" s="9"/>
      <c r="H12" s="9"/>
      <c r="I12" s="9"/>
      <c r="J12" s="9"/>
      <c r="K12" s="9"/>
      <c r="L12" s="9"/>
      <c r="M12" s="9"/>
      <c r="N12" s="9"/>
      <c r="O12" s="9"/>
      <c r="P12" s="21" t="str">
        <f aca="false">IF(OR(A12="",LEFT(A12,2)="EX"),"",IF(AND(C12&lt;&gt;"",G12&lt;&gt;"",F12="Y",OR(I12="N",AND(I12="Y",ISNUMBER(J12)))),"Y","N"))</f>
        <v/>
      </c>
      <c r="Q12" s="22" t="str">
        <f aca="false">IF(P12="Y",IFERROR(INDEX(Questions!$D$5:$D$10,MATCH(G12,Questions!$A$5:$A$10,0)),1),"")</f>
        <v/>
      </c>
      <c r="R12" s="22" t="str">
        <f aca="false">IF(P12&lt;&gt;"Y","",IF(I12="N",0,INDEX(Settings!$B$15:$B$20,MATCH(MIN(J12,6),Settings!$A$15:$A$20,0))/Settings!$B$22*100))</f>
        <v/>
      </c>
      <c r="S12" s="22" t="str">
        <f aca="false">IF(P12="Y",R12*Q12,"")</f>
        <v/>
      </c>
    </row>
    <row r="13" customFormat="false" ht="15" hidden="false" customHeight="false" outlineLevel="0" collapsed="false">
      <c r="A13" s="9"/>
      <c r="B13" s="23"/>
      <c r="C13" s="9"/>
      <c r="D13" s="9"/>
      <c r="E13" s="9"/>
      <c r="F13" s="9"/>
      <c r="G13" s="9"/>
      <c r="H13" s="9"/>
      <c r="I13" s="9"/>
      <c r="J13" s="9"/>
      <c r="K13" s="9"/>
      <c r="L13" s="9"/>
      <c r="M13" s="9"/>
      <c r="N13" s="9"/>
      <c r="O13" s="9"/>
      <c r="P13" s="21" t="str">
        <f aca="false">IF(OR(A13="",LEFT(A13,2)="EX"),"",IF(AND(C13&lt;&gt;"",G13&lt;&gt;"",F13="Y",OR(I13="N",AND(I13="Y",ISNUMBER(J13)))),"Y","N"))</f>
        <v/>
      </c>
      <c r="Q13" s="22" t="str">
        <f aca="false">IF(P13="Y",IFERROR(INDEX(Questions!$D$5:$D$10,MATCH(G13,Questions!$A$5:$A$10,0)),1),"")</f>
        <v/>
      </c>
      <c r="R13" s="22" t="str">
        <f aca="false">IF(P13&lt;&gt;"Y","",IF(I13="N",0,INDEX(Settings!$B$15:$B$20,MATCH(MIN(J13,6),Settings!$A$15:$A$20,0))/Settings!$B$22*100))</f>
        <v/>
      </c>
      <c r="S13" s="22" t="str">
        <f aca="false">IF(P13="Y",R13*Q13,"")</f>
        <v/>
      </c>
    </row>
    <row r="14" customFormat="false" ht="15" hidden="false" customHeight="false" outlineLevel="0" collapsed="false">
      <c r="A14" s="9"/>
      <c r="B14" s="23"/>
      <c r="C14" s="9"/>
      <c r="D14" s="9"/>
      <c r="E14" s="9"/>
      <c r="F14" s="9"/>
      <c r="G14" s="9"/>
      <c r="H14" s="9"/>
      <c r="I14" s="9"/>
      <c r="J14" s="9"/>
      <c r="K14" s="9"/>
      <c r="L14" s="9"/>
      <c r="M14" s="9"/>
      <c r="N14" s="9"/>
      <c r="O14" s="9"/>
      <c r="P14" s="21" t="str">
        <f aca="false">IF(OR(A14="",LEFT(A14,2)="EX"),"",IF(AND(C14&lt;&gt;"",G14&lt;&gt;"",F14="Y",OR(I14="N",AND(I14="Y",ISNUMBER(J14)))),"Y","N"))</f>
        <v/>
      </c>
      <c r="Q14" s="22" t="str">
        <f aca="false">IF(P14="Y",IFERROR(INDEX(Questions!$D$5:$D$10,MATCH(G14,Questions!$A$5:$A$10,0)),1),"")</f>
        <v/>
      </c>
      <c r="R14" s="22" t="str">
        <f aca="false">IF(P14&lt;&gt;"Y","",IF(I14="N",0,INDEX(Settings!$B$15:$B$20,MATCH(MIN(J14,6),Settings!$A$15:$A$20,0))/Settings!$B$22*100))</f>
        <v/>
      </c>
      <c r="S14" s="22" t="str">
        <f aca="false">IF(P14="Y",R14*Q14,"")</f>
        <v/>
      </c>
    </row>
    <row r="15" customFormat="false" ht="15" hidden="false" customHeight="false" outlineLevel="0" collapsed="false">
      <c r="A15" s="9"/>
      <c r="B15" s="23"/>
      <c r="C15" s="9"/>
      <c r="D15" s="9"/>
      <c r="E15" s="9"/>
      <c r="F15" s="9"/>
      <c r="G15" s="9"/>
      <c r="H15" s="9"/>
      <c r="I15" s="9"/>
      <c r="J15" s="9"/>
      <c r="K15" s="9"/>
      <c r="L15" s="9"/>
      <c r="M15" s="9"/>
      <c r="N15" s="9"/>
      <c r="O15" s="9"/>
      <c r="P15" s="21" t="str">
        <f aca="false">IF(OR(A15="",LEFT(A15,2)="EX"),"",IF(AND(C15&lt;&gt;"",G15&lt;&gt;"",F15="Y",OR(I15="N",AND(I15="Y",ISNUMBER(J15)))),"Y","N"))</f>
        <v/>
      </c>
      <c r="Q15" s="22" t="str">
        <f aca="false">IF(P15="Y",IFERROR(INDEX(Questions!$D$5:$D$10,MATCH(G15,Questions!$A$5:$A$10,0)),1),"")</f>
        <v/>
      </c>
      <c r="R15" s="22" t="str">
        <f aca="false">IF(P15&lt;&gt;"Y","",IF(I15="N",0,INDEX(Settings!$B$15:$B$20,MATCH(MIN(J15,6),Settings!$A$15:$A$20,0))/Settings!$B$22*100))</f>
        <v/>
      </c>
      <c r="S15" s="22" t="str">
        <f aca="false">IF(P15="Y",R15*Q15,"")</f>
        <v/>
      </c>
    </row>
    <row r="16" customFormat="false" ht="15" hidden="false" customHeight="false" outlineLevel="0" collapsed="false">
      <c r="A16" s="9"/>
      <c r="B16" s="23"/>
      <c r="C16" s="9"/>
      <c r="D16" s="9"/>
      <c r="E16" s="9"/>
      <c r="F16" s="9"/>
      <c r="G16" s="9"/>
      <c r="H16" s="9"/>
      <c r="I16" s="9"/>
      <c r="J16" s="9"/>
      <c r="K16" s="9"/>
      <c r="L16" s="9"/>
      <c r="M16" s="9"/>
      <c r="N16" s="9"/>
      <c r="O16" s="9"/>
      <c r="P16" s="21" t="str">
        <f aca="false">IF(OR(A16="",LEFT(A16,2)="EX"),"",IF(AND(C16&lt;&gt;"",G16&lt;&gt;"",F16="Y",OR(I16="N",AND(I16="Y",ISNUMBER(J16)))),"Y","N"))</f>
        <v/>
      </c>
      <c r="Q16" s="22" t="str">
        <f aca="false">IF(P16="Y",IFERROR(INDEX(Questions!$D$5:$D$10,MATCH(G16,Questions!$A$5:$A$10,0)),1),"")</f>
        <v/>
      </c>
      <c r="R16" s="22" t="str">
        <f aca="false">IF(P16&lt;&gt;"Y","",IF(I16="N",0,INDEX(Settings!$B$15:$B$20,MATCH(MIN(J16,6),Settings!$A$15:$A$20,0))/Settings!$B$22*100))</f>
        <v/>
      </c>
      <c r="S16" s="22" t="str">
        <f aca="false">IF(P16="Y",R16*Q16,"")</f>
        <v/>
      </c>
    </row>
    <row r="17" customFormat="false" ht="15" hidden="false" customHeight="false" outlineLevel="0" collapsed="false">
      <c r="A17" s="9"/>
      <c r="B17" s="23"/>
      <c r="C17" s="9"/>
      <c r="D17" s="9"/>
      <c r="E17" s="9"/>
      <c r="F17" s="9"/>
      <c r="G17" s="9"/>
      <c r="H17" s="9"/>
      <c r="I17" s="9"/>
      <c r="J17" s="9"/>
      <c r="K17" s="9"/>
      <c r="L17" s="9"/>
      <c r="M17" s="9"/>
      <c r="N17" s="9"/>
      <c r="O17" s="9"/>
      <c r="P17" s="21" t="str">
        <f aca="false">IF(OR(A17="",LEFT(A17,2)="EX"),"",IF(AND(C17&lt;&gt;"",G17&lt;&gt;"",F17="Y",OR(I17="N",AND(I17="Y",ISNUMBER(J17)))),"Y","N"))</f>
        <v/>
      </c>
      <c r="Q17" s="22" t="str">
        <f aca="false">IF(P17="Y",IFERROR(INDEX(Questions!$D$5:$D$10,MATCH(G17,Questions!$A$5:$A$10,0)),1),"")</f>
        <v/>
      </c>
      <c r="R17" s="22" t="str">
        <f aca="false">IF(P17&lt;&gt;"Y","",IF(I17="N",0,INDEX(Settings!$B$15:$B$20,MATCH(MIN(J17,6),Settings!$A$15:$A$20,0))/Settings!$B$22*100))</f>
        <v/>
      </c>
      <c r="S17" s="22" t="str">
        <f aca="false">IF(P17="Y",R17*Q17,"")</f>
        <v/>
      </c>
    </row>
    <row r="18" customFormat="false" ht="15" hidden="false" customHeight="false" outlineLevel="0" collapsed="false">
      <c r="A18" s="9"/>
      <c r="B18" s="23"/>
      <c r="C18" s="9"/>
      <c r="D18" s="9"/>
      <c r="E18" s="9"/>
      <c r="F18" s="9"/>
      <c r="G18" s="9"/>
      <c r="H18" s="9"/>
      <c r="I18" s="9"/>
      <c r="J18" s="9"/>
      <c r="K18" s="9"/>
      <c r="L18" s="9"/>
      <c r="M18" s="9"/>
      <c r="N18" s="9"/>
      <c r="O18" s="9"/>
      <c r="P18" s="21" t="str">
        <f aca="false">IF(OR(A18="",LEFT(A18,2)="EX"),"",IF(AND(C18&lt;&gt;"",G18&lt;&gt;"",F18="Y",OR(I18="N",AND(I18="Y",ISNUMBER(J18)))),"Y","N"))</f>
        <v/>
      </c>
      <c r="Q18" s="22" t="str">
        <f aca="false">IF(P18="Y",IFERROR(INDEX(Questions!$D$5:$D$10,MATCH(G18,Questions!$A$5:$A$10,0)),1),"")</f>
        <v/>
      </c>
      <c r="R18" s="22" t="str">
        <f aca="false">IF(P18&lt;&gt;"Y","",IF(I18="N",0,INDEX(Settings!$B$15:$B$20,MATCH(MIN(J18,6),Settings!$A$15:$A$20,0))/Settings!$B$22*100))</f>
        <v/>
      </c>
      <c r="S18" s="22" t="str">
        <f aca="false">IF(P18="Y",R18*Q18,"")</f>
        <v/>
      </c>
    </row>
    <row r="19" customFormat="false" ht="15" hidden="false" customHeight="false" outlineLevel="0" collapsed="false">
      <c r="A19" s="9"/>
      <c r="B19" s="23"/>
      <c r="C19" s="9"/>
      <c r="D19" s="9"/>
      <c r="E19" s="9"/>
      <c r="F19" s="9"/>
      <c r="G19" s="9"/>
      <c r="H19" s="9"/>
      <c r="I19" s="9"/>
      <c r="J19" s="9"/>
      <c r="K19" s="9"/>
      <c r="L19" s="9"/>
      <c r="M19" s="9"/>
      <c r="N19" s="9"/>
      <c r="O19" s="9"/>
      <c r="P19" s="21" t="str">
        <f aca="false">IF(OR(A19="",LEFT(A19,2)="EX"),"",IF(AND(C19&lt;&gt;"",G19&lt;&gt;"",F19="Y",OR(I19="N",AND(I19="Y",ISNUMBER(J19)))),"Y","N"))</f>
        <v/>
      </c>
      <c r="Q19" s="22" t="str">
        <f aca="false">IF(P19="Y",IFERROR(INDEX(Questions!$D$5:$D$10,MATCH(G19,Questions!$A$5:$A$10,0)),1),"")</f>
        <v/>
      </c>
      <c r="R19" s="22" t="str">
        <f aca="false">IF(P19&lt;&gt;"Y","",IF(I19="N",0,INDEX(Settings!$B$15:$B$20,MATCH(MIN(J19,6),Settings!$A$15:$A$20,0))/Settings!$B$22*100))</f>
        <v/>
      </c>
      <c r="S19" s="22" t="str">
        <f aca="false">IF(P19="Y",R19*Q19,"")</f>
        <v/>
      </c>
    </row>
    <row r="20" customFormat="false" ht="15" hidden="false" customHeight="false" outlineLevel="0" collapsed="false">
      <c r="A20" s="9"/>
      <c r="B20" s="23"/>
      <c r="C20" s="9"/>
      <c r="D20" s="9"/>
      <c r="E20" s="9"/>
      <c r="F20" s="9"/>
      <c r="G20" s="9"/>
      <c r="H20" s="9"/>
      <c r="I20" s="9"/>
      <c r="J20" s="9"/>
      <c r="K20" s="9"/>
      <c r="L20" s="9"/>
      <c r="M20" s="9"/>
      <c r="N20" s="9"/>
      <c r="O20" s="9"/>
      <c r="P20" s="21" t="str">
        <f aca="false">IF(OR(A20="",LEFT(A20,2)="EX"),"",IF(AND(C20&lt;&gt;"",G20&lt;&gt;"",F20="Y",OR(I20="N",AND(I20="Y",ISNUMBER(J20)))),"Y","N"))</f>
        <v/>
      </c>
      <c r="Q20" s="22" t="str">
        <f aca="false">IF(P20="Y",IFERROR(INDEX(Questions!$D$5:$D$10,MATCH(G20,Questions!$A$5:$A$10,0)),1),"")</f>
        <v/>
      </c>
      <c r="R20" s="22" t="str">
        <f aca="false">IF(P20&lt;&gt;"Y","",IF(I20="N",0,INDEX(Settings!$B$15:$B$20,MATCH(MIN(J20,6),Settings!$A$15:$A$20,0))/Settings!$B$22*100))</f>
        <v/>
      </c>
      <c r="S20" s="22" t="str">
        <f aca="false">IF(P20="Y",R20*Q20,"")</f>
        <v/>
      </c>
    </row>
    <row r="21" customFormat="false" ht="15" hidden="false" customHeight="false" outlineLevel="0" collapsed="false">
      <c r="A21" s="9"/>
      <c r="B21" s="23"/>
      <c r="C21" s="9"/>
      <c r="D21" s="9"/>
      <c r="E21" s="9"/>
      <c r="F21" s="9"/>
      <c r="G21" s="9"/>
      <c r="H21" s="9"/>
      <c r="I21" s="9"/>
      <c r="J21" s="9"/>
      <c r="K21" s="9"/>
      <c r="L21" s="9"/>
      <c r="M21" s="9"/>
      <c r="N21" s="9"/>
      <c r="O21" s="9"/>
      <c r="P21" s="21" t="str">
        <f aca="false">IF(OR(A21="",LEFT(A21,2)="EX"),"",IF(AND(C21&lt;&gt;"",G21&lt;&gt;"",F21="Y",OR(I21="N",AND(I21="Y",ISNUMBER(J21)))),"Y","N"))</f>
        <v/>
      </c>
      <c r="Q21" s="22" t="str">
        <f aca="false">IF(P21="Y",IFERROR(INDEX(Questions!$D$5:$D$10,MATCH(G21,Questions!$A$5:$A$10,0)),1),"")</f>
        <v/>
      </c>
      <c r="R21" s="22" t="str">
        <f aca="false">IF(P21&lt;&gt;"Y","",IF(I21="N",0,INDEX(Settings!$B$15:$B$20,MATCH(MIN(J21,6),Settings!$A$15:$A$20,0))/Settings!$B$22*100))</f>
        <v/>
      </c>
      <c r="S21" s="22" t="str">
        <f aca="false">IF(P21="Y",R21*Q21,"")</f>
        <v/>
      </c>
    </row>
    <row r="22" customFormat="false" ht="15" hidden="false" customHeight="false" outlineLevel="0" collapsed="false">
      <c r="A22" s="9"/>
      <c r="B22" s="23"/>
      <c r="C22" s="9"/>
      <c r="D22" s="9"/>
      <c r="E22" s="9"/>
      <c r="F22" s="9"/>
      <c r="G22" s="9"/>
      <c r="H22" s="9"/>
      <c r="I22" s="9"/>
      <c r="J22" s="9"/>
      <c r="K22" s="9"/>
      <c r="L22" s="9"/>
      <c r="M22" s="9"/>
      <c r="N22" s="9"/>
      <c r="O22" s="9"/>
      <c r="P22" s="21" t="str">
        <f aca="false">IF(OR(A22="",LEFT(A22,2)="EX"),"",IF(AND(C22&lt;&gt;"",G22&lt;&gt;"",F22="Y",OR(I22="N",AND(I22="Y",ISNUMBER(J22)))),"Y","N"))</f>
        <v/>
      </c>
      <c r="Q22" s="22" t="str">
        <f aca="false">IF(P22="Y",IFERROR(INDEX(Questions!$D$5:$D$10,MATCH(G22,Questions!$A$5:$A$10,0)),1),"")</f>
        <v/>
      </c>
      <c r="R22" s="22" t="str">
        <f aca="false">IF(P22&lt;&gt;"Y","",IF(I22="N",0,INDEX(Settings!$B$15:$B$20,MATCH(MIN(J22,6),Settings!$A$15:$A$20,0))/Settings!$B$22*100))</f>
        <v/>
      </c>
      <c r="S22" s="22" t="str">
        <f aca="false">IF(P22="Y",R22*Q22,"")</f>
        <v/>
      </c>
    </row>
    <row r="23" customFormat="false" ht="15" hidden="false" customHeight="false" outlineLevel="0" collapsed="false">
      <c r="A23" s="9"/>
      <c r="B23" s="23"/>
      <c r="C23" s="9"/>
      <c r="D23" s="9"/>
      <c r="E23" s="9"/>
      <c r="F23" s="9"/>
      <c r="G23" s="9"/>
      <c r="H23" s="9"/>
      <c r="I23" s="9"/>
      <c r="J23" s="9"/>
      <c r="K23" s="9"/>
      <c r="L23" s="9"/>
      <c r="M23" s="9"/>
      <c r="N23" s="9"/>
      <c r="O23" s="9"/>
      <c r="P23" s="21" t="str">
        <f aca="false">IF(OR(A23="",LEFT(A23,2)="EX"),"",IF(AND(C23&lt;&gt;"",G23&lt;&gt;"",F23="Y",OR(I23="N",AND(I23="Y",ISNUMBER(J23)))),"Y","N"))</f>
        <v/>
      </c>
      <c r="Q23" s="22" t="str">
        <f aca="false">IF(P23="Y",IFERROR(INDEX(Questions!$D$5:$D$10,MATCH(G23,Questions!$A$5:$A$10,0)),1),"")</f>
        <v/>
      </c>
      <c r="R23" s="22" t="str">
        <f aca="false">IF(P23&lt;&gt;"Y","",IF(I23="N",0,INDEX(Settings!$B$15:$B$20,MATCH(MIN(J23,6),Settings!$A$15:$A$20,0))/Settings!$B$22*100))</f>
        <v/>
      </c>
      <c r="S23" s="22" t="str">
        <f aca="false">IF(P23="Y",R23*Q23,"")</f>
        <v/>
      </c>
    </row>
    <row r="24" customFormat="false" ht="15" hidden="false" customHeight="false" outlineLevel="0" collapsed="false">
      <c r="A24" s="9"/>
      <c r="B24" s="23"/>
      <c r="C24" s="9"/>
      <c r="D24" s="9"/>
      <c r="E24" s="9"/>
      <c r="F24" s="9"/>
      <c r="G24" s="9"/>
      <c r="H24" s="9"/>
      <c r="I24" s="9"/>
      <c r="J24" s="9"/>
      <c r="K24" s="9"/>
      <c r="L24" s="9"/>
      <c r="M24" s="9"/>
      <c r="N24" s="9"/>
      <c r="O24" s="9"/>
      <c r="P24" s="21" t="str">
        <f aca="false">IF(OR(A24="",LEFT(A24,2)="EX"),"",IF(AND(C24&lt;&gt;"",G24&lt;&gt;"",F24="Y",OR(I24="N",AND(I24="Y",ISNUMBER(J24)))),"Y","N"))</f>
        <v/>
      </c>
      <c r="Q24" s="22" t="str">
        <f aca="false">IF(P24="Y",IFERROR(INDEX(Questions!$D$5:$D$10,MATCH(G24,Questions!$A$5:$A$10,0)),1),"")</f>
        <v/>
      </c>
      <c r="R24" s="22" t="str">
        <f aca="false">IF(P24&lt;&gt;"Y","",IF(I24="N",0,INDEX(Settings!$B$15:$B$20,MATCH(MIN(J24,6),Settings!$A$15:$A$20,0))/Settings!$B$22*100))</f>
        <v/>
      </c>
      <c r="S24" s="22" t="str">
        <f aca="false">IF(P24="Y",R24*Q24,"")</f>
        <v/>
      </c>
    </row>
    <row r="25" customFormat="false" ht="15" hidden="false" customHeight="false" outlineLevel="0" collapsed="false">
      <c r="A25" s="9"/>
      <c r="B25" s="23"/>
      <c r="C25" s="9"/>
      <c r="D25" s="9"/>
      <c r="E25" s="9"/>
      <c r="F25" s="9"/>
      <c r="G25" s="9"/>
      <c r="H25" s="9"/>
      <c r="I25" s="9"/>
      <c r="J25" s="9"/>
      <c r="K25" s="9"/>
      <c r="L25" s="9"/>
      <c r="M25" s="9"/>
      <c r="N25" s="9"/>
      <c r="O25" s="9"/>
      <c r="P25" s="21" t="str">
        <f aca="false">IF(OR(A25="",LEFT(A25,2)="EX"),"",IF(AND(C25&lt;&gt;"",G25&lt;&gt;"",F25="Y",OR(I25="N",AND(I25="Y",ISNUMBER(J25)))),"Y","N"))</f>
        <v/>
      </c>
      <c r="Q25" s="22" t="str">
        <f aca="false">IF(P25="Y",IFERROR(INDEX(Questions!$D$5:$D$10,MATCH(G25,Questions!$A$5:$A$10,0)),1),"")</f>
        <v/>
      </c>
      <c r="R25" s="22" t="str">
        <f aca="false">IF(P25&lt;&gt;"Y","",IF(I25="N",0,INDEX(Settings!$B$15:$B$20,MATCH(MIN(J25,6),Settings!$A$15:$A$20,0))/Settings!$B$22*100))</f>
        <v/>
      </c>
      <c r="S25" s="22" t="str">
        <f aca="false">IF(P25="Y",R25*Q25,"")</f>
        <v/>
      </c>
    </row>
    <row r="26" customFormat="false" ht="15" hidden="false" customHeight="false" outlineLevel="0" collapsed="false">
      <c r="A26" s="9"/>
      <c r="B26" s="23"/>
      <c r="C26" s="9"/>
      <c r="D26" s="9"/>
      <c r="E26" s="9"/>
      <c r="F26" s="9"/>
      <c r="G26" s="9"/>
      <c r="H26" s="9"/>
      <c r="I26" s="9"/>
      <c r="J26" s="9"/>
      <c r="K26" s="9"/>
      <c r="L26" s="9"/>
      <c r="M26" s="9"/>
      <c r="N26" s="9"/>
      <c r="O26" s="9"/>
      <c r="P26" s="21" t="str">
        <f aca="false">IF(OR(A26="",LEFT(A26,2)="EX"),"",IF(AND(C26&lt;&gt;"",G26&lt;&gt;"",F26="Y",OR(I26="N",AND(I26="Y",ISNUMBER(J26)))),"Y","N"))</f>
        <v/>
      </c>
      <c r="Q26" s="22" t="str">
        <f aca="false">IF(P26="Y",IFERROR(INDEX(Questions!$D$5:$D$10,MATCH(G26,Questions!$A$5:$A$10,0)),1),"")</f>
        <v/>
      </c>
      <c r="R26" s="22" t="str">
        <f aca="false">IF(P26&lt;&gt;"Y","",IF(I26="N",0,INDEX(Settings!$B$15:$B$20,MATCH(MIN(J26,6),Settings!$A$15:$A$20,0))/Settings!$B$22*100))</f>
        <v/>
      </c>
      <c r="S26" s="22" t="str">
        <f aca="false">IF(P26="Y",R26*Q26,"")</f>
        <v/>
      </c>
    </row>
    <row r="27" customFormat="false" ht="15" hidden="false" customHeight="false" outlineLevel="0" collapsed="false">
      <c r="A27" s="9"/>
      <c r="B27" s="23"/>
      <c r="C27" s="9"/>
      <c r="D27" s="9"/>
      <c r="E27" s="9"/>
      <c r="F27" s="9"/>
      <c r="G27" s="9"/>
      <c r="H27" s="9"/>
      <c r="I27" s="9"/>
      <c r="J27" s="9"/>
      <c r="K27" s="9"/>
      <c r="L27" s="9"/>
      <c r="M27" s="9"/>
      <c r="N27" s="9"/>
      <c r="O27" s="9"/>
      <c r="P27" s="21" t="str">
        <f aca="false">IF(OR(A27="",LEFT(A27,2)="EX"),"",IF(AND(C27&lt;&gt;"",G27&lt;&gt;"",F27="Y",OR(I27="N",AND(I27="Y",ISNUMBER(J27)))),"Y","N"))</f>
        <v/>
      </c>
      <c r="Q27" s="22" t="str">
        <f aca="false">IF(P27="Y",IFERROR(INDEX(Questions!$D$5:$D$10,MATCH(G27,Questions!$A$5:$A$10,0)),1),"")</f>
        <v/>
      </c>
      <c r="R27" s="22" t="str">
        <f aca="false">IF(P27&lt;&gt;"Y","",IF(I27="N",0,INDEX(Settings!$B$15:$B$20,MATCH(MIN(J27,6),Settings!$A$15:$A$20,0))/Settings!$B$22*100))</f>
        <v/>
      </c>
      <c r="S27" s="22" t="str">
        <f aca="false">IF(P27="Y",R27*Q27,"")</f>
        <v/>
      </c>
    </row>
    <row r="28" customFormat="false" ht="15" hidden="false" customHeight="false" outlineLevel="0" collapsed="false">
      <c r="A28" s="9"/>
      <c r="B28" s="23"/>
      <c r="C28" s="9"/>
      <c r="D28" s="9"/>
      <c r="E28" s="9"/>
      <c r="F28" s="9"/>
      <c r="G28" s="9"/>
      <c r="H28" s="9"/>
      <c r="I28" s="9"/>
      <c r="J28" s="9"/>
      <c r="K28" s="9"/>
      <c r="L28" s="9"/>
      <c r="M28" s="9"/>
      <c r="N28" s="9"/>
      <c r="O28" s="9"/>
      <c r="P28" s="21" t="str">
        <f aca="false">IF(OR(A28="",LEFT(A28,2)="EX"),"",IF(AND(C28&lt;&gt;"",G28&lt;&gt;"",F28="Y",OR(I28="N",AND(I28="Y",ISNUMBER(J28)))),"Y","N"))</f>
        <v/>
      </c>
      <c r="Q28" s="22" t="str">
        <f aca="false">IF(P28="Y",IFERROR(INDEX(Questions!$D$5:$D$10,MATCH(G28,Questions!$A$5:$A$10,0)),1),"")</f>
        <v/>
      </c>
      <c r="R28" s="22" t="str">
        <f aca="false">IF(P28&lt;&gt;"Y","",IF(I28="N",0,INDEX(Settings!$B$15:$B$20,MATCH(MIN(J28,6),Settings!$A$15:$A$20,0))/Settings!$B$22*100))</f>
        <v/>
      </c>
      <c r="S28" s="22" t="str">
        <f aca="false">IF(P28="Y",R28*Q28,"")</f>
        <v/>
      </c>
    </row>
    <row r="29" customFormat="false" ht="15" hidden="false" customHeight="false" outlineLevel="0" collapsed="false">
      <c r="A29" s="9"/>
      <c r="B29" s="23"/>
      <c r="C29" s="9"/>
      <c r="D29" s="9"/>
      <c r="E29" s="9"/>
      <c r="F29" s="9"/>
      <c r="G29" s="9"/>
      <c r="H29" s="9"/>
      <c r="I29" s="9"/>
      <c r="J29" s="9"/>
      <c r="K29" s="9"/>
      <c r="L29" s="9"/>
      <c r="M29" s="9"/>
      <c r="N29" s="9"/>
      <c r="O29" s="9"/>
      <c r="P29" s="21" t="str">
        <f aca="false">IF(OR(A29="",LEFT(A29,2)="EX"),"",IF(AND(C29&lt;&gt;"",G29&lt;&gt;"",F29="Y",OR(I29="N",AND(I29="Y",ISNUMBER(J29)))),"Y","N"))</f>
        <v/>
      </c>
      <c r="Q29" s="22" t="str">
        <f aca="false">IF(P29="Y",IFERROR(INDEX(Questions!$D$5:$D$10,MATCH(G29,Questions!$A$5:$A$10,0)),1),"")</f>
        <v/>
      </c>
      <c r="R29" s="22" t="str">
        <f aca="false">IF(P29&lt;&gt;"Y","",IF(I29="N",0,INDEX(Settings!$B$15:$B$20,MATCH(MIN(J29,6),Settings!$A$15:$A$20,0))/Settings!$B$22*100))</f>
        <v/>
      </c>
      <c r="S29" s="22" t="str">
        <f aca="false">IF(P29="Y",R29*Q29,"")</f>
        <v/>
      </c>
    </row>
    <row r="30" customFormat="false" ht="15" hidden="false" customHeight="false" outlineLevel="0" collapsed="false">
      <c r="A30" s="9"/>
      <c r="B30" s="23"/>
      <c r="C30" s="9"/>
      <c r="D30" s="9"/>
      <c r="E30" s="9"/>
      <c r="F30" s="9"/>
      <c r="G30" s="9"/>
      <c r="H30" s="9"/>
      <c r="I30" s="9"/>
      <c r="J30" s="9"/>
      <c r="K30" s="9"/>
      <c r="L30" s="9"/>
      <c r="M30" s="9"/>
      <c r="N30" s="9"/>
      <c r="O30" s="9"/>
      <c r="P30" s="21" t="str">
        <f aca="false">IF(OR(A30="",LEFT(A30,2)="EX"),"",IF(AND(C30&lt;&gt;"",G30&lt;&gt;"",F30="Y",OR(I30="N",AND(I30="Y",ISNUMBER(J30)))),"Y","N"))</f>
        <v/>
      </c>
      <c r="Q30" s="22" t="str">
        <f aca="false">IF(P30="Y",IFERROR(INDEX(Questions!$D$5:$D$10,MATCH(G30,Questions!$A$5:$A$10,0)),1),"")</f>
        <v/>
      </c>
      <c r="R30" s="22" t="str">
        <f aca="false">IF(P30&lt;&gt;"Y","",IF(I30="N",0,INDEX(Settings!$B$15:$B$20,MATCH(MIN(J30,6),Settings!$A$15:$A$20,0))/Settings!$B$22*100))</f>
        <v/>
      </c>
      <c r="S30" s="22" t="str">
        <f aca="false">IF(P30="Y",R30*Q30,"")</f>
        <v/>
      </c>
    </row>
    <row r="31" customFormat="false" ht="15" hidden="false" customHeight="false" outlineLevel="0" collapsed="false">
      <c r="A31" s="9"/>
      <c r="B31" s="23"/>
      <c r="C31" s="9"/>
      <c r="D31" s="9"/>
      <c r="E31" s="9"/>
      <c r="F31" s="9"/>
      <c r="G31" s="9"/>
      <c r="H31" s="9"/>
      <c r="I31" s="9"/>
      <c r="J31" s="9"/>
      <c r="K31" s="9"/>
      <c r="L31" s="9"/>
      <c r="M31" s="9"/>
      <c r="N31" s="9"/>
      <c r="O31" s="9"/>
      <c r="P31" s="21" t="str">
        <f aca="false">IF(OR(A31="",LEFT(A31,2)="EX"),"",IF(AND(C31&lt;&gt;"",G31&lt;&gt;"",F31="Y",OR(I31="N",AND(I31="Y",ISNUMBER(J31)))),"Y","N"))</f>
        <v/>
      </c>
      <c r="Q31" s="22" t="str">
        <f aca="false">IF(P31="Y",IFERROR(INDEX(Questions!$D$5:$D$10,MATCH(G31,Questions!$A$5:$A$10,0)),1),"")</f>
        <v/>
      </c>
      <c r="R31" s="22" t="str">
        <f aca="false">IF(P31&lt;&gt;"Y","",IF(I31="N",0,INDEX(Settings!$B$15:$B$20,MATCH(MIN(J31,6),Settings!$A$15:$A$20,0))/Settings!$B$22*100))</f>
        <v/>
      </c>
      <c r="S31" s="22" t="str">
        <f aca="false">IF(P31="Y",R31*Q31,"")</f>
        <v/>
      </c>
    </row>
    <row r="32" customFormat="false" ht="15" hidden="false" customHeight="false" outlineLevel="0" collapsed="false">
      <c r="A32" s="9"/>
      <c r="B32" s="23"/>
      <c r="C32" s="9"/>
      <c r="D32" s="9"/>
      <c r="E32" s="9"/>
      <c r="F32" s="9"/>
      <c r="G32" s="9"/>
      <c r="H32" s="9"/>
      <c r="I32" s="9"/>
      <c r="J32" s="9"/>
      <c r="K32" s="9"/>
      <c r="L32" s="9"/>
      <c r="M32" s="9"/>
      <c r="N32" s="9"/>
      <c r="O32" s="9"/>
      <c r="P32" s="21" t="str">
        <f aca="false">IF(OR(A32="",LEFT(A32,2)="EX"),"",IF(AND(C32&lt;&gt;"",G32&lt;&gt;"",F32="Y",OR(I32="N",AND(I32="Y",ISNUMBER(J32)))),"Y","N"))</f>
        <v/>
      </c>
      <c r="Q32" s="22" t="str">
        <f aca="false">IF(P32="Y",IFERROR(INDEX(Questions!$D$5:$D$10,MATCH(G32,Questions!$A$5:$A$10,0)),1),"")</f>
        <v/>
      </c>
      <c r="R32" s="22" t="str">
        <f aca="false">IF(P32&lt;&gt;"Y","",IF(I32="N",0,INDEX(Settings!$B$15:$B$20,MATCH(MIN(J32,6),Settings!$A$15:$A$20,0))/Settings!$B$22*100))</f>
        <v/>
      </c>
      <c r="S32" s="22" t="str">
        <f aca="false">IF(P32="Y",R32*Q32,"")</f>
        <v/>
      </c>
    </row>
    <row r="33" customFormat="false" ht="15" hidden="false" customHeight="false" outlineLevel="0" collapsed="false">
      <c r="A33" s="9"/>
      <c r="B33" s="23"/>
      <c r="C33" s="9"/>
      <c r="D33" s="9"/>
      <c r="E33" s="9"/>
      <c r="F33" s="9"/>
      <c r="G33" s="9"/>
      <c r="H33" s="9"/>
      <c r="I33" s="9"/>
      <c r="J33" s="9"/>
      <c r="K33" s="9"/>
      <c r="L33" s="9"/>
      <c r="M33" s="9"/>
      <c r="N33" s="9"/>
      <c r="O33" s="9"/>
      <c r="P33" s="21" t="str">
        <f aca="false">IF(OR(A33="",LEFT(A33,2)="EX"),"",IF(AND(C33&lt;&gt;"",G33&lt;&gt;"",F33="Y",OR(I33="N",AND(I33="Y",ISNUMBER(J33)))),"Y","N"))</f>
        <v/>
      </c>
      <c r="Q33" s="22" t="str">
        <f aca="false">IF(P33="Y",IFERROR(INDEX(Questions!$D$5:$D$10,MATCH(G33,Questions!$A$5:$A$10,0)),1),"")</f>
        <v/>
      </c>
      <c r="R33" s="22" t="str">
        <f aca="false">IF(P33&lt;&gt;"Y","",IF(I33="N",0,INDEX(Settings!$B$15:$B$20,MATCH(MIN(J33,6),Settings!$A$15:$A$20,0))/Settings!$B$22*100))</f>
        <v/>
      </c>
      <c r="S33" s="22" t="str">
        <f aca="false">IF(P33="Y",R33*Q33,"")</f>
        <v/>
      </c>
    </row>
    <row r="34" customFormat="false" ht="15" hidden="false" customHeight="false" outlineLevel="0" collapsed="false">
      <c r="A34" s="9"/>
      <c r="B34" s="23"/>
      <c r="C34" s="9"/>
      <c r="D34" s="9"/>
      <c r="E34" s="9"/>
      <c r="F34" s="9"/>
      <c r="G34" s="9"/>
      <c r="H34" s="9"/>
      <c r="I34" s="9"/>
      <c r="J34" s="9"/>
      <c r="K34" s="9"/>
      <c r="L34" s="9"/>
      <c r="M34" s="9"/>
      <c r="N34" s="9"/>
      <c r="O34" s="9"/>
      <c r="P34" s="21" t="str">
        <f aca="false">IF(OR(A34="",LEFT(A34,2)="EX"),"",IF(AND(C34&lt;&gt;"",G34&lt;&gt;"",F34="Y",OR(I34="N",AND(I34="Y",ISNUMBER(J34)))),"Y","N"))</f>
        <v/>
      </c>
      <c r="Q34" s="22" t="str">
        <f aca="false">IF(P34="Y",IFERROR(INDEX(Questions!$D$5:$D$10,MATCH(G34,Questions!$A$5:$A$10,0)),1),"")</f>
        <v/>
      </c>
      <c r="R34" s="22" t="str">
        <f aca="false">IF(P34&lt;&gt;"Y","",IF(I34="N",0,INDEX(Settings!$B$15:$B$20,MATCH(MIN(J34,6),Settings!$A$15:$A$20,0))/Settings!$B$22*100))</f>
        <v/>
      </c>
      <c r="S34" s="22" t="str">
        <f aca="false">IF(P34="Y",R34*Q34,"")</f>
        <v/>
      </c>
    </row>
    <row r="35" customFormat="false" ht="15" hidden="false" customHeight="false" outlineLevel="0" collapsed="false">
      <c r="A35" s="9"/>
      <c r="B35" s="23"/>
      <c r="C35" s="9"/>
      <c r="D35" s="9"/>
      <c r="E35" s="9"/>
      <c r="F35" s="9"/>
      <c r="G35" s="9"/>
      <c r="H35" s="9"/>
      <c r="I35" s="9"/>
      <c r="J35" s="9"/>
      <c r="K35" s="9"/>
      <c r="L35" s="9"/>
      <c r="M35" s="9"/>
      <c r="N35" s="9"/>
      <c r="O35" s="9"/>
      <c r="P35" s="21" t="str">
        <f aca="false">IF(OR(A35="",LEFT(A35,2)="EX"),"",IF(AND(C35&lt;&gt;"",G35&lt;&gt;"",F35="Y",OR(I35="N",AND(I35="Y",ISNUMBER(J35)))),"Y","N"))</f>
        <v/>
      </c>
      <c r="Q35" s="22" t="str">
        <f aca="false">IF(P35="Y",IFERROR(INDEX(Questions!$D$5:$D$10,MATCH(G35,Questions!$A$5:$A$10,0)),1),"")</f>
        <v/>
      </c>
      <c r="R35" s="22" t="str">
        <f aca="false">IF(P35&lt;&gt;"Y","",IF(I35="N",0,INDEX(Settings!$B$15:$B$20,MATCH(MIN(J35,6),Settings!$A$15:$A$20,0))/Settings!$B$22*100))</f>
        <v/>
      </c>
      <c r="S35" s="22" t="str">
        <f aca="false">IF(P35="Y",R35*Q35,"")</f>
        <v/>
      </c>
    </row>
    <row r="36" customFormat="false" ht="15" hidden="false" customHeight="false" outlineLevel="0" collapsed="false">
      <c r="A36" s="9"/>
      <c r="B36" s="23"/>
      <c r="C36" s="9"/>
      <c r="D36" s="9"/>
      <c r="E36" s="9"/>
      <c r="F36" s="9"/>
      <c r="G36" s="9"/>
      <c r="H36" s="9"/>
      <c r="I36" s="9"/>
      <c r="J36" s="9"/>
      <c r="K36" s="9"/>
      <c r="L36" s="9"/>
      <c r="M36" s="9"/>
      <c r="N36" s="9"/>
      <c r="O36" s="9"/>
      <c r="P36" s="21" t="str">
        <f aca="false">IF(OR(A36="",LEFT(A36,2)="EX"),"",IF(AND(C36&lt;&gt;"",G36&lt;&gt;"",F36="Y",OR(I36="N",AND(I36="Y",ISNUMBER(J36)))),"Y","N"))</f>
        <v/>
      </c>
      <c r="Q36" s="22" t="str">
        <f aca="false">IF(P36="Y",IFERROR(INDEX(Questions!$D$5:$D$10,MATCH(G36,Questions!$A$5:$A$10,0)),1),"")</f>
        <v/>
      </c>
      <c r="R36" s="22" t="str">
        <f aca="false">IF(P36&lt;&gt;"Y","",IF(I36="N",0,INDEX(Settings!$B$15:$B$20,MATCH(MIN(J36,6),Settings!$A$15:$A$20,0))/Settings!$B$22*100))</f>
        <v/>
      </c>
      <c r="S36" s="22" t="str">
        <f aca="false">IF(P36="Y",R36*Q36,"")</f>
        <v/>
      </c>
    </row>
    <row r="37" customFormat="false" ht="15" hidden="false" customHeight="false" outlineLevel="0" collapsed="false">
      <c r="A37" s="9"/>
      <c r="B37" s="23"/>
      <c r="C37" s="9"/>
      <c r="D37" s="9"/>
      <c r="E37" s="9"/>
      <c r="F37" s="9"/>
      <c r="G37" s="9"/>
      <c r="H37" s="9"/>
      <c r="I37" s="9"/>
      <c r="J37" s="9"/>
      <c r="K37" s="9"/>
      <c r="L37" s="9"/>
      <c r="M37" s="9"/>
      <c r="N37" s="9"/>
      <c r="O37" s="9"/>
      <c r="P37" s="21" t="str">
        <f aca="false">IF(OR(A37="",LEFT(A37,2)="EX"),"",IF(AND(C37&lt;&gt;"",G37&lt;&gt;"",F37="Y",OR(I37="N",AND(I37="Y",ISNUMBER(J37)))),"Y","N"))</f>
        <v/>
      </c>
      <c r="Q37" s="22" t="str">
        <f aca="false">IF(P37="Y",IFERROR(INDEX(Questions!$D$5:$D$10,MATCH(G37,Questions!$A$5:$A$10,0)),1),"")</f>
        <v/>
      </c>
      <c r="R37" s="22" t="str">
        <f aca="false">IF(P37&lt;&gt;"Y","",IF(I37="N",0,INDEX(Settings!$B$15:$B$20,MATCH(MIN(J37,6),Settings!$A$15:$A$20,0))/Settings!$B$22*100))</f>
        <v/>
      </c>
      <c r="S37" s="22" t="str">
        <f aca="false">IF(P37="Y",R37*Q37,"")</f>
        <v/>
      </c>
    </row>
    <row r="38" customFormat="false" ht="15" hidden="false" customHeight="false" outlineLevel="0" collapsed="false">
      <c r="A38" s="9"/>
      <c r="B38" s="23"/>
      <c r="C38" s="9"/>
      <c r="D38" s="9"/>
      <c r="E38" s="9"/>
      <c r="F38" s="9"/>
      <c r="G38" s="9"/>
      <c r="H38" s="9"/>
      <c r="I38" s="9"/>
      <c r="J38" s="9"/>
      <c r="K38" s="9"/>
      <c r="L38" s="9"/>
      <c r="M38" s="9"/>
      <c r="N38" s="9"/>
      <c r="O38" s="9"/>
      <c r="P38" s="21" t="str">
        <f aca="false">IF(OR(A38="",LEFT(A38,2)="EX"),"",IF(AND(C38&lt;&gt;"",G38&lt;&gt;"",F38="Y",OR(I38="N",AND(I38="Y",ISNUMBER(J38)))),"Y","N"))</f>
        <v/>
      </c>
      <c r="Q38" s="22" t="str">
        <f aca="false">IF(P38="Y",IFERROR(INDEX(Questions!$D$5:$D$10,MATCH(G38,Questions!$A$5:$A$10,0)),1),"")</f>
        <v/>
      </c>
      <c r="R38" s="22" t="str">
        <f aca="false">IF(P38&lt;&gt;"Y","",IF(I38="N",0,INDEX(Settings!$B$15:$B$20,MATCH(MIN(J38,6),Settings!$A$15:$A$20,0))/Settings!$B$22*100))</f>
        <v/>
      </c>
      <c r="S38" s="22" t="str">
        <f aca="false">IF(P38="Y",R38*Q38,"")</f>
        <v/>
      </c>
    </row>
    <row r="39" customFormat="false" ht="15" hidden="false" customHeight="false" outlineLevel="0" collapsed="false">
      <c r="A39" s="9"/>
      <c r="B39" s="23"/>
      <c r="C39" s="9"/>
      <c r="D39" s="9"/>
      <c r="E39" s="9"/>
      <c r="F39" s="9"/>
      <c r="G39" s="9"/>
      <c r="H39" s="9"/>
      <c r="I39" s="9"/>
      <c r="J39" s="9"/>
      <c r="K39" s="9"/>
      <c r="L39" s="9"/>
      <c r="M39" s="9"/>
      <c r="N39" s="9"/>
      <c r="O39" s="9"/>
      <c r="P39" s="21" t="str">
        <f aca="false">IF(OR(A39="",LEFT(A39,2)="EX"),"",IF(AND(C39&lt;&gt;"",G39&lt;&gt;"",F39="Y",OR(I39="N",AND(I39="Y",ISNUMBER(J39)))),"Y","N"))</f>
        <v/>
      </c>
      <c r="Q39" s="22" t="str">
        <f aca="false">IF(P39="Y",IFERROR(INDEX(Questions!$D$5:$D$10,MATCH(G39,Questions!$A$5:$A$10,0)),1),"")</f>
        <v/>
      </c>
      <c r="R39" s="22" t="str">
        <f aca="false">IF(P39&lt;&gt;"Y","",IF(I39="N",0,INDEX(Settings!$B$15:$B$20,MATCH(MIN(J39,6),Settings!$A$15:$A$20,0))/Settings!$B$22*100))</f>
        <v/>
      </c>
      <c r="S39" s="22" t="str">
        <f aca="false">IF(P39="Y",R39*Q39,"")</f>
        <v/>
      </c>
    </row>
    <row r="40" customFormat="false" ht="15" hidden="false" customHeight="false" outlineLevel="0" collapsed="false">
      <c r="A40" s="9"/>
      <c r="B40" s="23"/>
      <c r="C40" s="9"/>
      <c r="D40" s="9"/>
      <c r="E40" s="9"/>
      <c r="F40" s="9"/>
      <c r="G40" s="9"/>
      <c r="H40" s="9"/>
      <c r="I40" s="9"/>
      <c r="J40" s="9"/>
      <c r="K40" s="9"/>
      <c r="L40" s="9"/>
      <c r="M40" s="9"/>
      <c r="N40" s="9"/>
      <c r="O40" s="9"/>
      <c r="P40" s="21" t="str">
        <f aca="false">IF(OR(A40="",LEFT(A40,2)="EX"),"",IF(AND(C40&lt;&gt;"",G40&lt;&gt;"",F40="Y",OR(I40="N",AND(I40="Y",ISNUMBER(J40)))),"Y","N"))</f>
        <v/>
      </c>
      <c r="Q40" s="22" t="str">
        <f aca="false">IF(P40="Y",IFERROR(INDEX(Questions!$D$5:$D$10,MATCH(G40,Questions!$A$5:$A$10,0)),1),"")</f>
        <v/>
      </c>
      <c r="R40" s="22" t="str">
        <f aca="false">IF(P40&lt;&gt;"Y","",IF(I40="N",0,INDEX(Settings!$B$15:$B$20,MATCH(MIN(J40,6),Settings!$A$15:$A$20,0))/Settings!$B$22*100))</f>
        <v/>
      </c>
      <c r="S40" s="22" t="str">
        <f aca="false">IF(P40="Y",R40*Q40,"")</f>
        <v/>
      </c>
    </row>
    <row r="41" customFormat="false" ht="15" hidden="false" customHeight="false" outlineLevel="0" collapsed="false">
      <c r="A41" s="9"/>
      <c r="B41" s="23"/>
      <c r="C41" s="9"/>
      <c r="D41" s="9"/>
      <c r="E41" s="9"/>
      <c r="F41" s="9"/>
      <c r="G41" s="9"/>
      <c r="H41" s="9"/>
      <c r="I41" s="9"/>
      <c r="J41" s="9"/>
      <c r="K41" s="9"/>
      <c r="L41" s="9"/>
      <c r="M41" s="9"/>
      <c r="N41" s="9"/>
      <c r="O41" s="9"/>
      <c r="P41" s="21" t="str">
        <f aca="false">IF(OR(A41="",LEFT(A41,2)="EX"),"",IF(AND(C41&lt;&gt;"",G41&lt;&gt;"",F41="Y",OR(I41="N",AND(I41="Y",ISNUMBER(J41)))),"Y","N"))</f>
        <v/>
      </c>
      <c r="Q41" s="22" t="str">
        <f aca="false">IF(P41="Y",IFERROR(INDEX(Questions!$D$5:$D$10,MATCH(G41,Questions!$A$5:$A$10,0)),1),"")</f>
        <v/>
      </c>
      <c r="R41" s="22" t="str">
        <f aca="false">IF(P41&lt;&gt;"Y","",IF(I41="N",0,INDEX(Settings!$B$15:$B$20,MATCH(MIN(J41,6),Settings!$A$15:$A$20,0))/Settings!$B$22*100))</f>
        <v/>
      </c>
      <c r="S41" s="22" t="str">
        <f aca="false">IF(P41="Y",R41*Q41,"")</f>
        <v/>
      </c>
    </row>
    <row r="42" customFormat="false" ht="15" hidden="false" customHeight="false" outlineLevel="0" collapsed="false">
      <c r="A42" s="9"/>
      <c r="B42" s="23"/>
      <c r="C42" s="9"/>
      <c r="D42" s="9"/>
      <c r="E42" s="9"/>
      <c r="F42" s="9"/>
      <c r="G42" s="9"/>
      <c r="H42" s="9"/>
      <c r="I42" s="9"/>
      <c r="J42" s="9"/>
      <c r="K42" s="9"/>
      <c r="L42" s="9"/>
      <c r="M42" s="9"/>
      <c r="N42" s="9"/>
      <c r="O42" s="9"/>
      <c r="P42" s="21" t="str">
        <f aca="false">IF(OR(A42="",LEFT(A42,2)="EX"),"",IF(AND(C42&lt;&gt;"",G42&lt;&gt;"",F42="Y",OR(I42="N",AND(I42="Y",ISNUMBER(J42)))),"Y","N"))</f>
        <v/>
      </c>
      <c r="Q42" s="22" t="str">
        <f aca="false">IF(P42="Y",IFERROR(INDEX(Questions!$D$5:$D$10,MATCH(G42,Questions!$A$5:$A$10,0)),1),"")</f>
        <v/>
      </c>
      <c r="R42" s="22" t="str">
        <f aca="false">IF(P42&lt;&gt;"Y","",IF(I42="N",0,INDEX(Settings!$B$15:$B$20,MATCH(MIN(J42,6),Settings!$A$15:$A$20,0))/Settings!$B$22*100))</f>
        <v/>
      </c>
      <c r="S42" s="22" t="str">
        <f aca="false">IF(P42="Y",R42*Q42,"")</f>
        <v/>
      </c>
    </row>
    <row r="43" customFormat="false" ht="15" hidden="false" customHeight="false" outlineLevel="0" collapsed="false">
      <c r="A43" s="9"/>
      <c r="B43" s="23"/>
      <c r="C43" s="9"/>
      <c r="D43" s="9"/>
      <c r="E43" s="9"/>
      <c r="F43" s="9"/>
      <c r="G43" s="9"/>
      <c r="H43" s="9"/>
      <c r="I43" s="9"/>
      <c r="J43" s="9"/>
      <c r="K43" s="9"/>
      <c r="L43" s="9"/>
      <c r="M43" s="9"/>
      <c r="N43" s="9"/>
      <c r="O43" s="9"/>
      <c r="P43" s="21" t="str">
        <f aca="false">IF(OR(A43="",LEFT(A43,2)="EX"),"",IF(AND(C43&lt;&gt;"",G43&lt;&gt;"",F43="Y",OR(I43="N",AND(I43="Y",ISNUMBER(J43)))),"Y","N"))</f>
        <v/>
      </c>
      <c r="Q43" s="22" t="str">
        <f aca="false">IF(P43="Y",IFERROR(INDEX(Questions!$D$5:$D$10,MATCH(G43,Questions!$A$5:$A$10,0)),1),"")</f>
        <v/>
      </c>
      <c r="R43" s="22" t="str">
        <f aca="false">IF(P43&lt;&gt;"Y","",IF(I43="N",0,INDEX(Settings!$B$15:$B$20,MATCH(MIN(J43,6),Settings!$A$15:$A$20,0))/Settings!$B$22*100))</f>
        <v/>
      </c>
      <c r="S43" s="22" t="str">
        <f aca="false">IF(P43="Y",R43*Q43,"")</f>
        <v/>
      </c>
    </row>
    <row r="44" customFormat="false" ht="15" hidden="false" customHeight="false" outlineLevel="0" collapsed="false">
      <c r="A44" s="9"/>
      <c r="B44" s="23"/>
      <c r="C44" s="9"/>
      <c r="D44" s="9"/>
      <c r="E44" s="9"/>
      <c r="F44" s="9"/>
      <c r="G44" s="9"/>
      <c r="H44" s="9"/>
      <c r="I44" s="9"/>
      <c r="J44" s="9"/>
      <c r="K44" s="9"/>
      <c r="L44" s="9"/>
      <c r="M44" s="9"/>
      <c r="N44" s="9"/>
      <c r="O44" s="9"/>
      <c r="P44" s="21" t="str">
        <f aca="false">IF(OR(A44="",LEFT(A44,2)="EX"),"",IF(AND(C44&lt;&gt;"",G44&lt;&gt;"",F44="Y",OR(I44="N",AND(I44="Y",ISNUMBER(J44)))),"Y","N"))</f>
        <v/>
      </c>
      <c r="Q44" s="22" t="str">
        <f aca="false">IF(P44="Y",IFERROR(INDEX(Questions!$D$5:$D$10,MATCH(G44,Questions!$A$5:$A$10,0)),1),"")</f>
        <v/>
      </c>
      <c r="R44" s="22" t="str">
        <f aca="false">IF(P44&lt;&gt;"Y","",IF(I44="N",0,INDEX(Settings!$B$15:$B$20,MATCH(MIN(J44,6),Settings!$A$15:$A$20,0))/Settings!$B$22*100))</f>
        <v/>
      </c>
      <c r="S44" s="22" t="str">
        <f aca="false">IF(P44="Y",R44*Q44,"")</f>
        <v/>
      </c>
    </row>
    <row r="45" customFormat="false" ht="15" hidden="false" customHeight="false" outlineLevel="0" collapsed="false">
      <c r="A45" s="9"/>
      <c r="B45" s="23"/>
      <c r="C45" s="9"/>
      <c r="D45" s="9"/>
      <c r="E45" s="9"/>
      <c r="F45" s="9"/>
      <c r="G45" s="9"/>
      <c r="H45" s="9"/>
      <c r="I45" s="9"/>
      <c r="J45" s="9"/>
      <c r="K45" s="9"/>
      <c r="L45" s="9"/>
      <c r="M45" s="9"/>
      <c r="N45" s="9"/>
      <c r="O45" s="9"/>
      <c r="P45" s="21" t="str">
        <f aca="false">IF(OR(A45="",LEFT(A45,2)="EX"),"",IF(AND(C45&lt;&gt;"",G45&lt;&gt;"",F45="Y",OR(I45="N",AND(I45="Y",ISNUMBER(J45)))),"Y","N"))</f>
        <v/>
      </c>
      <c r="Q45" s="22" t="str">
        <f aca="false">IF(P45="Y",IFERROR(INDEX(Questions!$D$5:$D$10,MATCH(G45,Questions!$A$5:$A$10,0)),1),"")</f>
        <v/>
      </c>
      <c r="R45" s="22" t="str">
        <f aca="false">IF(P45&lt;&gt;"Y","",IF(I45="N",0,INDEX(Settings!$B$15:$B$20,MATCH(MIN(J45,6),Settings!$A$15:$A$20,0))/Settings!$B$22*100))</f>
        <v/>
      </c>
      <c r="S45" s="22" t="str">
        <f aca="false">IF(P45="Y",R45*Q45,"")</f>
        <v/>
      </c>
    </row>
    <row r="46" customFormat="false" ht="15" hidden="false" customHeight="false" outlineLevel="0" collapsed="false">
      <c r="A46" s="9"/>
      <c r="B46" s="23"/>
      <c r="C46" s="9"/>
      <c r="D46" s="9"/>
      <c r="E46" s="9"/>
      <c r="F46" s="9"/>
      <c r="G46" s="9"/>
      <c r="H46" s="9"/>
      <c r="I46" s="9"/>
      <c r="J46" s="9"/>
      <c r="K46" s="9"/>
      <c r="L46" s="9"/>
      <c r="M46" s="9"/>
      <c r="N46" s="9"/>
      <c r="O46" s="9"/>
      <c r="P46" s="21" t="str">
        <f aca="false">IF(OR(A46="",LEFT(A46,2)="EX"),"",IF(AND(C46&lt;&gt;"",G46&lt;&gt;"",F46="Y",OR(I46="N",AND(I46="Y",ISNUMBER(J46)))),"Y","N"))</f>
        <v/>
      </c>
      <c r="Q46" s="22" t="str">
        <f aca="false">IF(P46="Y",IFERROR(INDEX(Questions!$D$5:$D$10,MATCH(G46,Questions!$A$5:$A$10,0)),1),"")</f>
        <v/>
      </c>
      <c r="R46" s="22" t="str">
        <f aca="false">IF(P46&lt;&gt;"Y","",IF(I46="N",0,INDEX(Settings!$B$15:$B$20,MATCH(MIN(J46,6),Settings!$A$15:$A$20,0))/Settings!$B$22*100))</f>
        <v/>
      </c>
      <c r="S46" s="22" t="str">
        <f aca="false">IF(P46="Y",R46*Q46,"")</f>
        <v/>
      </c>
    </row>
    <row r="47" customFormat="false" ht="15" hidden="false" customHeight="false" outlineLevel="0" collapsed="false">
      <c r="A47" s="9"/>
      <c r="B47" s="23"/>
      <c r="C47" s="9"/>
      <c r="D47" s="9"/>
      <c r="E47" s="9"/>
      <c r="F47" s="9"/>
      <c r="G47" s="9"/>
      <c r="H47" s="9"/>
      <c r="I47" s="9"/>
      <c r="J47" s="9"/>
      <c r="K47" s="9"/>
      <c r="L47" s="9"/>
      <c r="M47" s="9"/>
      <c r="N47" s="9"/>
      <c r="O47" s="9"/>
      <c r="P47" s="21" t="str">
        <f aca="false">IF(OR(A47="",LEFT(A47,2)="EX"),"",IF(AND(C47&lt;&gt;"",G47&lt;&gt;"",F47="Y",OR(I47="N",AND(I47="Y",ISNUMBER(J47)))),"Y","N"))</f>
        <v/>
      </c>
      <c r="Q47" s="22" t="str">
        <f aca="false">IF(P47="Y",IFERROR(INDEX(Questions!$D$5:$D$10,MATCH(G47,Questions!$A$5:$A$10,0)),1),"")</f>
        <v/>
      </c>
      <c r="R47" s="22" t="str">
        <f aca="false">IF(P47&lt;&gt;"Y","",IF(I47="N",0,INDEX(Settings!$B$15:$B$20,MATCH(MIN(J47,6),Settings!$A$15:$A$20,0))/Settings!$B$22*100))</f>
        <v/>
      </c>
      <c r="S47" s="22" t="str">
        <f aca="false">IF(P47="Y",R47*Q47,"")</f>
        <v/>
      </c>
    </row>
    <row r="48" customFormat="false" ht="15" hidden="false" customHeight="false" outlineLevel="0" collapsed="false">
      <c r="A48" s="9"/>
      <c r="B48" s="23"/>
      <c r="C48" s="9"/>
      <c r="D48" s="9"/>
      <c r="E48" s="9"/>
      <c r="F48" s="9"/>
      <c r="G48" s="9"/>
      <c r="H48" s="9"/>
      <c r="I48" s="9"/>
      <c r="J48" s="9"/>
      <c r="K48" s="9"/>
      <c r="L48" s="9"/>
      <c r="M48" s="9"/>
      <c r="N48" s="9"/>
      <c r="O48" s="9"/>
      <c r="P48" s="21" t="str">
        <f aca="false">IF(OR(A48="",LEFT(A48,2)="EX"),"",IF(AND(C48&lt;&gt;"",G48&lt;&gt;"",F48="Y",OR(I48="N",AND(I48="Y",ISNUMBER(J48)))),"Y","N"))</f>
        <v/>
      </c>
      <c r="Q48" s="22" t="str">
        <f aca="false">IF(P48="Y",IFERROR(INDEX(Questions!$D$5:$D$10,MATCH(G48,Questions!$A$5:$A$10,0)),1),"")</f>
        <v/>
      </c>
      <c r="R48" s="22" t="str">
        <f aca="false">IF(P48&lt;&gt;"Y","",IF(I48="N",0,INDEX(Settings!$B$15:$B$20,MATCH(MIN(J48,6),Settings!$A$15:$A$20,0))/Settings!$B$22*100))</f>
        <v/>
      </c>
      <c r="S48" s="22" t="str">
        <f aca="false">IF(P48="Y",R48*Q48,"")</f>
        <v/>
      </c>
    </row>
    <row r="49" customFormat="false" ht="15" hidden="false" customHeight="false" outlineLevel="0" collapsed="false">
      <c r="A49" s="9"/>
      <c r="B49" s="23"/>
      <c r="C49" s="9"/>
      <c r="D49" s="9"/>
      <c r="E49" s="9"/>
      <c r="F49" s="9"/>
      <c r="G49" s="9"/>
      <c r="H49" s="9"/>
      <c r="I49" s="9"/>
      <c r="J49" s="9"/>
      <c r="K49" s="9"/>
      <c r="L49" s="9"/>
      <c r="M49" s="9"/>
      <c r="N49" s="9"/>
      <c r="O49" s="9"/>
      <c r="P49" s="21" t="str">
        <f aca="false">IF(OR(A49="",LEFT(A49,2)="EX"),"",IF(AND(C49&lt;&gt;"",G49&lt;&gt;"",F49="Y",OR(I49="N",AND(I49="Y",ISNUMBER(J49)))),"Y","N"))</f>
        <v/>
      </c>
      <c r="Q49" s="22" t="str">
        <f aca="false">IF(P49="Y",IFERROR(INDEX(Questions!$D$5:$D$10,MATCH(G49,Questions!$A$5:$A$10,0)),1),"")</f>
        <v/>
      </c>
      <c r="R49" s="22" t="str">
        <f aca="false">IF(P49&lt;&gt;"Y","",IF(I49="N",0,INDEX(Settings!$B$15:$B$20,MATCH(MIN(J49,6),Settings!$A$15:$A$20,0))/Settings!$B$22*100))</f>
        <v/>
      </c>
      <c r="S49" s="22" t="str">
        <f aca="false">IF(P49="Y",R49*Q49,"")</f>
        <v/>
      </c>
    </row>
    <row r="50" customFormat="false" ht="15" hidden="false" customHeight="false" outlineLevel="0" collapsed="false">
      <c r="A50" s="9"/>
      <c r="B50" s="23"/>
      <c r="C50" s="9"/>
      <c r="D50" s="9"/>
      <c r="E50" s="9"/>
      <c r="F50" s="9"/>
      <c r="G50" s="9"/>
      <c r="H50" s="9"/>
      <c r="I50" s="9"/>
      <c r="J50" s="9"/>
      <c r="K50" s="9"/>
      <c r="L50" s="9"/>
      <c r="M50" s="9"/>
      <c r="N50" s="9"/>
      <c r="O50" s="9"/>
      <c r="P50" s="21" t="str">
        <f aca="false">IF(OR(A50="",LEFT(A50,2)="EX"),"",IF(AND(C50&lt;&gt;"",G50&lt;&gt;"",F50="Y",OR(I50="N",AND(I50="Y",ISNUMBER(J50)))),"Y","N"))</f>
        <v/>
      </c>
      <c r="Q50" s="22" t="str">
        <f aca="false">IF(P50="Y",IFERROR(INDEX(Questions!$D$5:$D$10,MATCH(G50,Questions!$A$5:$A$10,0)),1),"")</f>
        <v/>
      </c>
      <c r="R50" s="22" t="str">
        <f aca="false">IF(P50&lt;&gt;"Y","",IF(I50="N",0,INDEX(Settings!$B$15:$B$20,MATCH(MIN(J50,6),Settings!$A$15:$A$20,0))/Settings!$B$22*100))</f>
        <v/>
      </c>
      <c r="S50" s="22" t="str">
        <f aca="false">IF(P50="Y",R50*Q50,"")</f>
        <v/>
      </c>
    </row>
    <row r="51" customFormat="false" ht="15" hidden="false" customHeight="false" outlineLevel="0" collapsed="false">
      <c r="A51" s="9"/>
      <c r="B51" s="23"/>
      <c r="C51" s="9"/>
      <c r="D51" s="9"/>
      <c r="E51" s="9"/>
      <c r="F51" s="9"/>
      <c r="G51" s="9"/>
      <c r="H51" s="9"/>
      <c r="I51" s="9"/>
      <c r="J51" s="9"/>
      <c r="K51" s="9"/>
      <c r="L51" s="9"/>
      <c r="M51" s="9"/>
      <c r="N51" s="9"/>
      <c r="O51" s="9"/>
      <c r="P51" s="21" t="str">
        <f aca="false">IF(OR(A51="",LEFT(A51,2)="EX"),"",IF(AND(C51&lt;&gt;"",G51&lt;&gt;"",F51="Y",OR(I51="N",AND(I51="Y",ISNUMBER(J51)))),"Y","N"))</f>
        <v/>
      </c>
      <c r="Q51" s="22" t="str">
        <f aca="false">IF(P51="Y",IFERROR(INDEX(Questions!$D$5:$D$10,MATCH(G51,Questions!$A$5:$A$10,0)),1),"")</f>
        <v/>
      </c>
      <c r="R51" s="22" t="str">
        <f aca="false">IF(P51&lt;&gt;"Y","",IF(I51="N",0,INDEX(Settings!$B$15:$B$20,MATCH(MIN(J51,6),Settings!$A$15:$A$20,0))/Settings!$B$22*100))</f>
        <v/>
      </c>
      <c r="S51" s="22" t="str">
        <f aca="false">IF(P51="Y",R51*Q51,"")</f>
        <v/>
      </c>
    </row>
    <row r="52" customFormat="false" ht="15" hidden="false" customHeight="false" outlineLevel="0" collapsed="false">
      <c r="A52" s="9"/>
      <c r="B52" s="23"/>
      <c r="C52" s="9"/>
      <c r="D52" s="9"/>
      <c r="E52" s="9"/>
      <c r="F52" s="9"/>
      <c r="G52" s="9"/>
      <c r="H52" s="9"/>
      <c r="I52" s="9"/>
      <c r="J52" s="9"/>
      <c r="K52" s="9"/>
      <c r="L52" s="9"/>
      <c r="M52" s="9"/>
      <c r="N52" s="9"/>
      <c r="O52" s="9"/>
      <c r="P52" s="21" t="str">
        <f aca="false">IF(OR(A52="",LEFT(A52,2)="EX"),"",IF(AND(C52&lt;&gt;"",G52&lt;&gt;"",F52="Y",OR(I52="N",AND(I52="Y",ISNUMBER(J52)))),"Y","N"))</f>
        <v/>
      </c>
      <c r="Q52" s="22" t="str">
        <f aca="false">IF(P52="Y",IFERROR(INDEX(Questions!$D$5:$D$10,MATCH(G52,Questions!$A$5:$A$10,0)),1),"")</f>
        <v/>
      </c>
      <c r="R52" s="22" t="str">
        <f aca="false">IF(P52&lt;&gt;"Y","",IF(I52="N",0,INDEX(Settings!$B$15:$B$20,MATCH(MIN(J52,6),Settings!$A$15:$A$20,0))/Settings!$B$22*100))</f>
        <v/>
      </c>
      <c r="S52" s="22" t="str">
        <f aca="false">IF(P52="Y",R52*Q52,"")</f>
        <v/>
      </c>
    </row>
    <row r="53" customFormat="false" ht="15" hidden="false" customHeight="false" outlineLevel="0" collapsed="false">
      <c r="A53" s="9"/>
      <c r="B53" s="23"/>
      <c r="C53" s="9"/>
      <c r="D53" s="9"/>
      <c r="E53" s="9"/>
      <c r="F53" s="9"/>
      <c r="G53" s="9"/>
      <c r="H53" s="9"/>
      <c r="I53" s="9"/>
      <c r="J53" s="9"/>
      <c r="K53" s="9"/>
      <c r="L53" s="9"/>
      <c r="M53" s="9"/>
      <c r="N53" s="9"/>
      <c r="O53" s="9"/>
      <c r="P53" s="21" t="str">
        <f aca="false">IF(OR(A53="",LEFT(A53,2)="EX"),"",IF(AND(C53&lt;&gt;"",G53&lt;&gt;"",F53="Y",OR(I53="N",AND(I53="Y",ISNUMBER(J53)))),"Y","N"))</f>
        <v/>
      </c>
      <c r="Q53" s="22" t="str">
        <f aca="false">IF(P53="Y",IFERROR(INDEX(Questions!$D$5:$D$10,MATCH(G53,Questions!$A$5:$A$10,0)),1),"")</f>
        <v/>
      </c>
      <c r="R53" s="22" t="str">
        <f aca="false">IF(P53&lt;&gt;"Y","",IF(I53="N",0,INDEX(Settings!$B$15:$B$20,MATCH(MIN(J53,6),Settings!$A$15:$A$20,0))/Settings!$B$22*100))</f>
        <v/>
      </c>
      <c r="S53" s="22" t="str">
        <f aca="false">IF(P53="Y",R53*Q53,"")</f>
        <v/>
      </c>
    </row>
    <row r="54" customFormat="false" ht="15" hidden="false" customHeight="false" outlineLevel="0" collapsed="false">
      <c r="A54" s="9"/>
      <c r="B54" s="23"/>
      <c r="C54" s="9"/>
      <c r="D54" s="9"/>
      <c r="E54" s="9"/>
      <c r="F54" s="9"/>
      <c r="G54" s="9"/>
      <c r="H54" s="9"/>
      <c r="I54" s="9"/>
      <c r="J54" s="9"/>
      <c r="K54" s="9"/>
      <c r="L54" s="9"/>
      <c r="M54" s="9"/>
      <c r="N54" s="9"/>
      <c r="O54" s="9"/>
      <c r="P54" s="21" t="str">
        <f aca="false">IF(OR(A54="",LEFT(A54,2)="EX"),"",IF(AND(C54&lt;&gt;"",G54&lt;&gt;"",F54="Y",OR(I54="N",AND(I54="Y",ISNUMBER(J54)))),"Y","N"))</f>
        <v/>
      </c>
      <c r="Q54" s="22" t="str">
        <f aca="false">IF(P54="Y",IFERROR(INDEX(Questions!$D$5:$D$10,MATCH(G54,Questions!$A$5:$A$10,0)),1),"")</f>
        <v/>
      </c>
      <c r="R54" s="22" t="str">
        <f aca="false">IF(P54&lt;&gt;"Y","",IF(I54="N",0,INDEX(Settings!$B$15:$B$20,MATCH(MIN(J54,6),Settings!$A$15:$A$20,0))/Settings!$B$22*100))</f>
        <v/>
      </c>
      <c r="S54" s="22" t="str">
        <f aca="false">IF(P54="Y",R54*Q54,"")</f>
        <v/>
      </c>
    </row>
    <row r="55" customFormat="false" ht="15" hidden="false" customHeight="false" outlineLevel="0" collapsed="false">
      <c r="A55" s="9"/>
      <c r="B55" s="23"/>
      <c r="C55" s="9"/>
      <c r="D55" s="9"/>
      <c r="E55" s="9"/>
      <c r="F55" s="9"/>
      <c r="G55" s="9"/>
      <c r="H55" s="9"/>
      <c r="I55" s="9"/>
      <c r="J55" s="9"/>
      <c r="K55" s="9"/>
      <c r="L55" s="9"/>
      <c r="M55" s="9"/>
      <c r="N55" s="9"/>
      <c r="O55" s="9"/>
      <c r="P55" s="21" t="str">
        <f aca="false">IF(OR(A55="",LEFT(A55,2)="EX"),"",IF(AND(C55&lt;&gt;"",G55&lt;&gt;"",F55="Y",OR(I55="N",AND(I55="Y",ISNUMBER(J55)))),"Y","N"))</f>
        <v/>
      </c>
      <c r="Q55" s="22" t="str">
        <f aca="false">IF(P55="Y",IFERROR(INDEX(Questions!$D$5:$D$10,MATCH(G55,Questions!$A$5:$A$10,0)),1),"")</f>
        <v/>
      </c>
      <c r="R55" s="22" t="str">
        <f aca="false">IF(P55&lt;&gt;"Y","",IF(I55="N",0,INDEX(Settings!$B$15:$B$20,MATCH(MIN(J55,6),Settings!$A$15:$A$20,0))/Settings!$B$22*100))</f>
        <v/>
      </c>
      <c r="S55" s="22" t="str">
        <f aca="false">IF(P55="Y",R55*Q55,"")</f>
        <v/>
      </c>
    </row>
    <row r="56" customFormat="false" ht="15" hidden="false" customHeight="false" outlineLevel="0" collapsed="false">
      <c r="A56" s="9"/>
      <c r="B56" s="23"/>
      <c r="C56" s="9"/>
      <c r="D56" s="9"/>
      <c r="E56" s="9"/>
      <c r="F56" s="9"/>
      <c r="G56" s="9"/>
      <c r="H56" s="9"/>
      <c r="I56" s="9"/>
      <c r="J56" s="9"/>
      <c r="K56" s="9"/>
      <c r="L56" s="9"/>
      <c r="M56" s="9"/>
      <c r="N56" s="9"/>
      <c r="O56" s="9"/>
      <c r="P56" s="21" t="str">
        <f aca="false">IF(OR(A56="",LEFT(A56,2)="EX"),"",IF(AND(C56&lt;&gt;"",G56&lt;&gt;"",F56="Y",OR(I56="N",AND(I56="Y",ISNUMBER(J56)))),"Y","N"))</f>
        <v/>
      </c>
      <c r="Q56" s="22" t="str">
        <f aca="false">IF(P56="Y",IFERROR(INDEX(Questions!$D$5:$D$10,MATCH(G56,Questions!$A$5:$A$10,0)),1),"")</f>
        <v/>
      </c>
      <c r="R56" s="22" t="str">
        <f aca="false">IF(P56&lt;&gt;"Y","",IF(I56="N",0,INDEX(Settings!$B$15:$B$20,MATCH(MIN(J56,6),Settings!$A$15:$A$20,0))/Settings!$B$22*100))</f>
        <v/>
      </c>
      <c r="S56" s="22" t="str">
        <f aca="false">IF(P56="Y",R56*Q56,"")</f>
        <v/>
      </c>
    </row>
    <row r="57" customFormat="false" ht="15" hidden="false" customHeight="false" outlineLevel="0" collapsed="false">
      <c r="A57" s="9"/>
      <c r="B57" s="23"/>
      <c r="C57" s="9"/>
      <c r="D57" s="9"/>
      <c r="E57" s="9"/>
      <c r="F57" s="9"/>
      <c r="G57" s="9"/>
      <c r="H57" s="9"/>
      <c r="I57" s="9"/>
      <c r="J57" s="9"/>
      <c r="K57" s="9"/>
      <c r="L57" s="9"/>
      <c r="M57" s="9"/>
      <c r="N57" s="9"/>
      <c r="O57" s="9"/>
      <c r="P57" s="21" t="str">
        <f aca="false">IF(OR(A57="",LEFT(A57,2)="EX"),"",IF(AND(C57&lt;&gt;"",G57&lt;&gt;"",F57="Y",OR(I57="N",AND(I57="Y",ISNUMBER(J57)))),"Y","N"))</f>
        <v/>
      </c>
      <c r="Q57" s="22" t="str">
        <f aca="false">IF(P57="Y",IFERROR(INDEX(Questions!$D$5:$D$10,MATCH(G57,Questions!$A$5:$A$10,0)),1),"")</f>
        <v/>
      </c>
      <c r="R57" s="22" t="str">
        <f aca="false">IF(P57&lt;&gt;"Y","",IF(I57="N",0,INDEX(Settings!$B$15:$B$20,MATCH(MIN(J57,6),Settings!$A$15:$A$20,0))/Settings!$B$22*100))</f>
        <v/>
      </c>
      <c r="S57" s="22" t="str">
        <f aca="false">IF(P57="Y",R57*Q57,"")</f>
        <v/>
      </c>
    </row>
    <row r="58" customFormat="false" ht="15" hidden="false" customHeight="false" outlineLevel="0" collapsed="false">
      <c r="A58" s="9"/>
      <c r="B58" s="23"/>
      <c r="C58" s="9"/>
      <c r="D58" s="9"/>
      <c r="E58" s="9"/>
      <c r="F58" s="9"/>
      <c r="G58" s="9"/>
      <c r="H58" s="9"/>
      <c r="I58" s="9"/>
      <c r="J58" s="9"/>
      <c r="K58" s="9"/>
      <c r="L58" s="9"/>
      <c r="M58" s="9"/>
      <c r="N58" s="9"/>
      <c r="O58" s="9"/>
      <c r="P58" s="21" t="str">
        <f aca="false">IF(OR(A58="",LEFT(A58,2)="EX"),"",IF(AND(C58&lt;&gt;"",G58&lt;&gt;"",F58="Y",OR(I58="N",AND(I58="Y",ISNUMBER(J58)))),"Y","N"))</f>
        <v/>
      </c>
      <c r="Q58" s="22" t="str">
        <f aca="false">IF(P58="Y",IFERROR(INDEX(Questions!$D$5:$D$10,MATCH(G58,Questions!$A$5:$A$10,0)),1),"")</f>
        <v/>
      </c>
      <c r="R58" s="22" t="str">
        <f aca="false">IF(P58&lt;&gt;"Y","",IF(I58="N",0,INDEX(Settings!$B$15:$B$20,MATCH(MIN(J58,6),Settings!$A$15:$A$20,0))/Settings!$B$22*100))</f>
        <v/>
      </c>
      <c r="S58" s="22" t="str">
        <f aca="false">IF(P58="Y",R58*Q58,"")</f>
        <v/>
      </c>
    </row>
    <row r="59" customFormat="false" ht="15" hidden="false" customHeight="false" outlineLevel="0" collapsed="false">
      <c r="A59" s="9"/>
      <c r="B59" s="23"/>
      <c r="C59" s="9"/>
      <c r="D59" s="9"/>
      <c r="E59" s="9"/>
      <c r="F59" s="9"/>
      <c r="G59" s="9"/>
      <c r="H59" s="9"/>
      <c r="I59" s="9"/>
      <c r="J59" s="9"/>
      <c r="K59" s="9"/>
      <c r="L59" s="9"/>
      <c r="M59" s="9"/>
      <c r="N59" s="9"/>
      <c r="O59" s="9"/>
      <c r="P59" s="21" t="str">
        <f aca="false">IF(OR(A59="",LEFT(A59,2)="EX"),"",IF(AND(C59&lt;&gt;"",G59&lt;&gt;"",F59="Y",OR(I59="N",AND(I59="Y",ISNUMBER(J59)))),"Y","N"))</f>
        <v/>
      </c>
      <c r="Q59" s="22" t="str">
        <f aca="false">IF(P59="Y",IFERROR(INDEX(Questions!$D$5:$D$10,MATCH(G59,Questions!$A$5:$A$10,0)),1),"")</f>
        <v/>
      </c>
      <c r="R59" s="22" t="str">
        <f aca="false">IF(P59&lt;&gt;"Y","",IF(I59="N",0,INDEX(Settings!$B$15:$B$20,MATCH(MIN(J59,6),Settings!$A$15:$A$20,0))/Settings!$B$22*100))</f>
        <v/>
      </c>
      <c r="S59" s="22" t="str">
        <f aca="false">IF(P59="Y",R59*Q59,"")</f>
        <v/>
      </c>
    </row>
    <row r="60" customFormat="false" ht="15" hidden="false" customHeight="false" outlineLevel="0" collapsed="false">
      <c r="A60" s="9"/>
      <c r="B60" s="23"/>
      <c r="C60" s="9"/>
      <c r="D60" s="9"/>
      <c r="E60" s="9"/>
      <c r="F60" s="9"/>
      <c r="G60" s="9"/>
      <c r="H60" s="9"/>
      <c r="I60" s="9"/>
      <c r="J60" s="9"/>
      <c r="K60" s="9"/>
      <c r="L60" s="9"/>
      <c r="M60" s="9"/>
      <c r="N60" s="9"/>
      <c r="O60" s="9"/>
      <c r="P60" s="21" t="str">
        <f aca="false">IF(OR(A60="",LEFT(A60,2)="EX"),"",IF(AND(C60&lt;&gt;"",G60&lt;&gt;"",F60="Y",OR(I60="N",AND(I60="Y",ISNUMBER(J60)))),"Y","N"))</f>
        <v/>
      </c>
      <c r="Q60" s="22" t="str">
        <f aca="false">IF(P60="Y",IFERROR(INDEX(Questions!$D$5:$D$10,MATCH(G60,Questions!$A$5:$A$10,0)),1),"")</f>
        <v/>
      </c>
      <c r="R60" s="22" t="str">
        <f aca="false">IF(P60&lt;&gt;"Y","",IF(I60="N",0,INDEX(Settings!$B$15:$B$20,MATCH(MIN(J60,6),Settings!$A$15:$A$20,0))/Settings!$B$22*100))</f>
        <v/>
      </c>
      <c r="S60" s="22" t="str">
        <f aca="false">IF(P60="Y",R60*Q60,"")</f>
        <v/>
      </c>
    </row>
    <row r="61" customFormat="false" ht="15" hidden="false" customHeight="false" outlineLevel="0" collapsed="false">
      <c r="A61" s="9"/>
      <c r="B61" s="23"/>
      <c r="C61" s="9"/>
      <c r="D61" s="9"/>
      <c r="E61" s="9"/>
      <c r="F61" s="9"/>
      <c r="G61" s="9"/>
      <c r="H61" s="9"/>
      <c r="I61" s="9"/>
      <c r="J61" s="9"/>
      <c r="K61" s="9"/>
      <c r="L61" s="9"/>
      <c r="M61" s="9"/>
      <c r="N61" s="9"/>
      <c r="O61" s="9"/>
      <c r="P61" s="21" t="str">
        <f aca="false">IF(OR(A61="",LEFT(A61,2)="EX"),"",IF(AND(C61&lt;&gt;"",G61&lt;&gt;"",F61="Y",OR(I61="N",AND(I61="Y",ISNUMBER(J61)))),"Y","N"))</f>
        <v/>
      </c>
      <c r="Q61" s="22" t="str">
        <f aca="false">IF(P61="Y",IFERROR(INDEX(Questions!$D$5:$D$10,MATCH(G61,Questions!$A$5:$A$10,0)),1),"")</f>
        <v/>
      </c>
      <c r="R61" s="22" t="str">
        <f aca="false">IF(P61&lt;&gt;"Y","",IF(I61="N",0,INDEX(Settings!$B$15:$B$20,MATCH(MIN(J61,6),Settings!$A$15:$A$20,0))/Settings!$B$22*100))</f>
        <v/>
      </c>
      <c r="S61" s="22" t="str">
        <f aca="false">IF(P61="Y",R61*Q61,"")</f>
        <v/>
      </c>
    </row>
    <row r="62" customFormat="false" ht="15" hidden="false" customHeight="false" outlineLevel="0" collapsed="false">
      <c r="A62" s="9"/>
      <c r="B62" s="23"/>
      <c r="C62" s="9"/>
      <c r="D62" s="9"/>
      <c r="E62" s="9"/>
      <c r="F62" s="9"/>
      <c r="G62" s="9"/>
      <c r="H62" s="9"/>
      <c r="I62" s="9"/>
      <c r="J62" s="9"/>
      <c r="K62" s="9"/>
      <c r="L62" s="9"/>
      <c r="M62" s="9"/>
      <c r="N62" s="9"/>
      <c r="O62" s="9"/>
      <c r="P62" s="21" t="str">
        <f aca="false">IF(OR(A62="",LEFT(A62,2)="EX"),"",IF(AND(C62&lt;&gt;"",G62&lt;&gt;"",F62="Y",OR(I62="N",AND(I62="Y",ISNUMBER(J62)))),"Y","N"))</f>
        <v/>
      </c>
      <c r="Q62" s="22" t="str">
        <f aca="false">IF(P62="Y",IFERROR(INDEX(Questions!$D$5:$D$10,MATCH(G62,Questions!$A$5:$A$10,0)),1),"")</f>
        <v/>
      </c>
      <c r="R62" s="22" t="str">
        <f aca="false">IF(P62&lt;&gt;"Y","",IF(I62="N",0,INDEX(Settings!$B$15:$B$20,MATCH(MIN(J62,6),Settings!$A$15:$A$20,0))/Settings!$B$22*100))</f>
        <v/>
      </c>
      <c r="S62" s="22" t="str">
        <f aca="false">IF(P62="Y",R62*Q62,"")</f>
        <v/>
      </c>
    </row>
    <row r="63" customFormat="false" ht="15" hidden="false" customHeight="false" outlineLevel="0" collapsed="false">
      <c r="A63" s="9"/>
      <c r="B63" s="23"/>
      <c r="C63" s="9"/>
      <c r="D63" s="9"/>
      <c r="E63" s="9"/>
      <c r="F63" s="9"/>
      <c r="G63" s="9"/>
      <c r="H63" s="9"/>
      <c r="I63" s="9"/>
      <c r="J63" s="9"/>
      <c r="K63" s="9"/>
      <c r="L63" s="9"/>
      <c r="M63" s="9"/>
      <c r="N63" s="9"/>
      <c r="O63" s="9"/>
      <c r="P63" s="21" t="str">
        <f aca="false">IF(OR(A63="",LEFT(A63,2)="EX"),"",IF(AND(C63&lt;&gt;"",G63&lt;&gt;"",F63="Y",OR(I63="N",AND(I63="Y",ISNUMBER(J63)))),"Y","N"))</f>
        <v/>
      </c>
      <c r="Q63" s="22" t="str">
        <f aca="false">IF(P63="Y",IFERROR(INDEX(Questions!$D$5:$D$10,MATCH(G63,Questions!$A$5:$A$10,0)),1),"")</f>
        <v/>
      </c>
      <c r="R63" s="22" t="str">
        <f aca="false">IF(P63&lt;&gt;"Y","",IF(I63="N",0,INDEX(Settings!$B$15:$B$20,MATCH(MIN(J63,6),Settings!$A$15:$A$20,0))/Settings!$B$22*100))</f>
        <v/>
      </c>
      <c r="S63" s="22" t="str">
        <f aca="false">IF(P63="Y",R63*Q63,"")</f>
        <v/>
      </c>
    </row>
    <row r="64" customFormat="false" ht="15" hidden="false" customHeight="false" outlineLevel="0" collapsed="false">
      <c r="A64" s="9"/>
      <c r="B64" s="23"/>
      <c r="C64" s="9"/>
      <c r="D64" s="9"/>
      <c r="E64" s="9"/>
      <c r="F64" s="9"/>
      <c r="G64" s="9"/>
      <c r="H64" s="9"/>
      <c r="I64" s="9"/>
      <c r="J64" s="9"/>
      <c r="K64" s="9"/>
      <c r="L64" s="9"/>
      <c r="M64" s="9"/>
      <c r="N64" s="9"/>
      <c r="O64" s="9"/>
      <c r="P64" s="21" t="str">
        <f aca="false">IF(OR(A64="",LEFT(A64,2)="EX"),"",IF(AND(C64&lt;&gt;"",G64&lt;&gt;"",F64="Y",OR(I64="N",AND(I64="Y",ISNUMBER(J64)))),"Y","N"))</f>
        <v/>
      </c>
      <c r="Q64" s="22" t="str">
        <f aca="false">IF(P64="Y",IFERROR(INDEX(Questions!$D$5:$D$10,MATCH(G64,Questions!$A$5:$A$10,0)),1),"")</f>
        <v/>
      </c>
      <c r="R64" s="22" t="str">
        <f aca="false">IF(P64&lt;&gt;"Y","",IF(I64="N",0,INDEX(Settings!$B$15:$B$20,MATCH(MIN(J64,6),Settings!$A$15:$A$20,0))/Settings!$B$22*100))</f>
        <v/>
      </c>
      <c r="S64" s="22" t="str">
        <f aca="false">IF(P64="Y",R64*Q64,"")</f>
        <v/>
      </c>
    </row>
    <row r="65" customFormat="false" ht="15" hidden="false" customHeight="false" outlineLevel="0" collapsed="false">
      <c r="A65" s="9"/>
      <c r="B65" s="23"/>
      <c r="C65" s="9"/>
      <c r="D65" s="9"/>
      <c r="E65" s="9"/>
      <c r="F65" s="9"/>
      <c r="G65" s="9"/>
      <c r="H65" s="9"/>
      <c r="I65" s="9"/>
      <c r="J65" s="9"/>
      <c r="K65" s="9"/>
      <c r="L65" s="9"/>
      <c r="M65" s="9"/>
      <c r="N65" s="9"/>
      <c r="O65" s="9"/>
      <c r="P65" s="21" t="str">
        <f aca="false">IF(OR(A65="",LEFT(A65,2)="EX"),"",IF(AND(C65&lt;&gt;"",G65&lt;&gt;"",F65="Y",OR(I65="N",AND(I65="Y",ISNUMBER(J65)))),"Y","N"))</f>
        <v/>
      </c>
      <c r="Q65" s="22" t="str">
        <f aca="false">IF(P65="Y",IFERROR(INDEX(Questions!$D$5:$D$10,MATCH(G65,Questions!$A$5:$A$10,0)),1),"")</f>
        <v/>
      </c>
      <c r="R65" s="22" t="str">
        <f aca="false">IF(P65&lt;&gt;"Y","",IF(I65="N",0,INDEX(Settings!$B$15:$B$20,MATCH(MIN(J65,6),Settings!$A$15:$A$20,0))/Settings!$B$22*100))</f>
        <v/>
      </c>
      <c r="S65" s="22" t="str">
        <f aca="false">IF(P65="Y",R65*Q65,"")</f>
        <v/>
      </c>
    </row>
    <row r="66" customFormat="false" ht="15" hidden="false" customHeight="false" outlineLevel="0" collapsed="false">
      <c r="A66" s="9"/>
      <c r="B66" s="23"/>
      <c r="C66" s="9"/>
      <c r="D66" s="9"/>
      <c r="E66" s="9"/>
      <c r="F66" s="9"/>
      <c r="G66" s="9"/>
      <c r="H66" s="9"/>
      <c r="I66" s="9"/>
      <c r="J66" s="9"/>
      <c r="K66" s="9"/>
      <c r="L66" s="9"/>
      <c r="M66" s="9"/>
      <c r="N66" s="9"/>
      <c r="O66" s="9"/>
      <c r="P66" s="21" t="str">
        <f aca="false">IF(OR(A66="",LEFT(A66,2)="EX"),"",IF(AND(C66&lt;&gt;"",G66&lt;&gt;"",F66="Y",OR(I66="N",AND(I66="Y",ISNUMBER(J66)))),"Y","N"))</f>
        <v/>
      </c>
      <c r="Q66" s="22" t="str">
        <f aca="false">IF(P66="Y",IFERROR(INDEX(Questions!$D$5:$D$10,MATCH(G66,Questions!$A$5:$A$10,0)),1),"")</f>
        <v/>
      </c>
      <c r="R66" s="22" t="str">
        <f aca="false">IF(P66&lt;&gt;"Y","",IF(I66="N",0,INDEX(Settings!$B$15:$B$20,MATCH(MIN(J66,6),Settings!$A$15:$A$20,0))/Settings!$B$22*100))</f>
        <v/>
      </c>
      <c r="S66" s="22" t="str">
        <f aca="false">IF(P66="Y",R66*Q66,"")</f>
        <v/>
      </c>
    </row>
    <row r="67" customFormat="false" ht="15" hidden="false" customHeight="false" outlineLevel="0" collapsed="false">
      <c r="A67" s="9"/>
      <c r="B67" s="23"/>
      <c r="C67" s="9"/>
      <c r="D67" s="9"/>
      <c r="E67" s="9"/>
      <c r="F67" s="9"/>
      <c r="G67" s="9"/>
      <c r="H67" s="9"/>
      <c r="I67" s="9"/>
      <c r="J67" s="9"/>
      <c r="K67" s="9"/>
      <c r="L67" s="9"/>
      <c r="M67" s="9"/>
      <c r="N67" s="9"/>
      <c r="O67" s="9"/>
      <c r="P67" s="21" t="str">
        <f aca="false">IF(OR(A67="",LEFT(A67,2)="EX"),"",IF(AND(C67&lt;&gt;"",G67&lt;&gt;"",F67="Y",OR(I67="N",AND(I67="Y",ISNUMBER(J67)))),"Y","N"))</f>
        <v/>
      </c>
      <c r="Q67" s="22" t="str">
        <f aca="false">IF(P67="Y",IFERROR(INDEX(Questions!$D$5:$D$10,MATCH(G67,Questions!$A$5:$A$10,0)),1),"")</f>
        <v/>
      </c>
      <c r="R67" s="22" t="str">
        <f aca="false">IF(P67&lt;&gt;"Y","",IF(I67="N",0,INDEX(Settings!$B$15:$B$20,MATCH(MIN(J67,6),Settings!$A$15:$A$20,0))/Settings!$B$22*100))</f>
        <v/>
      </c>
      <c r="S67" s="22" t="str">
        <f aca="false">IF(P67="Y",R67*Q67,"")</f>
        <v/>
      </c>
    </row>
    <row r="68" customFormat="false" ht="15" hidden="false" customHeight="false" outlineLevel="0" collapsed="false">
      <c r="A68" s="9"/>
      <c r="B68" s="23"/>
      <c r="C68" s="9"/>
      <c r="D68" s="9"/>
      <c r="E68" s="9"/>
      <c r="F68" s="9"/>
      <c r="G68" s="9"/>
      <c r="H68" s="9"/>
      <c r="I68" s="9"/>
      <c r="J68" s="9"/>
      <c r="K68" s="9"/>
      <c r="L68" s="9"/>
      <c r="M68" s="9"/>
      <c r="N68" s="9"/>
      <c r="O68" s="9"/>
      <c r="P68" s="21" t="str">
        <f aca="false">IF(OR(A68="",LEFT(A68,2)="EX"),"",IF(AND(C68&lt;&gt;"",G68&lt;&gt;"",F68="Y",OR(I68="N",AND(I68="Y",ISNUMBER(J68)))),"Y","N"))</f>
        <v/>
      </c>
      <c r="Q68" s="22" t="str">
        <f aca="false">IF(P68="Y",IFERROR(INDEX(Questions!$D$5:$D$10,MATCH(G68,Questions!$A$5:$A$10,0)),1),"")</f>
        <v/>
      </c>
      <c r="R68" s="22" t="str">
        <f aca="false">IF(P68&lt;&gt;"Y","",IF(I68="N",0,INDEX(Settings!$B$15:$B$20,MATCH(MIN(J68,6),Settings!$A$15:$A$20,0))/Settings!$B$22*100))</f>
        <v/>
      </c>
      <c r="S68" s="22" t="str">
        <f aca="false">IF(P68="Y",R68*Q68,"")</f>
        <v/>
      </c>
    </row>
    <row r="69" customFormat="false" ht="15" hidden="false" customHeight="false" outlineLevel="0" collapsed="false">
      <c r="A69" s="9"/>
      <c r="B69" s="23"/>
      <c r="C69" s="9"/>
      <c r="D69" s="9"/>
      <c r="E69" s="9"/>
      <c r="F69" s="9"/>
      <c r="G69" s="9"/>
      <c r="H69" s="9"/>
      <c r="I69" s="9"/>
      <c r="J69" s="9"/>
      <c r="K69" s="9"/>
      <c r="L69" s="9"/>
      <c r="M69" s="9"/>
      <c r="N69" s="9"/>
      <c r="O69" s="9"/>
      <c r="P69" s="21" t="str">
        <f aca="false">IF(OR(A69="",LEFT(A69,2)="EX"),"",IF(AND(C69&lt;&gt;"",G69&lt;&gt;"",F69="Y",OR(I69="N",AND(I69="Y",ISNUMBER(J69)))),"Y","N"))</f>
        <v/>
      </c>
      <c r="Q69" s="22" t="str">
        <f aca="false">IF(P69="Y",IFERROR(INDEX(Questions!$D$5:$D$10,MATCH(G69,Questions!$A$5:$A$10,0)),1),"")</f>
        <v/>
      </c>
      <c r="R69" s="22" t="str">
        <f aca="false">IF(P69&lt;&gt;"Y","",IF(I69="N",0,INDEX(Settings!$B$15:$B$20,MATCH(MIN(J69,6),Settings!$A$15:$A$20,0))/Settings!$B$22*100))</f>
        <v/>
      </c>
      <c r="S69" s="22" t="str">
        <f aca="false">IF(P69="Y",R69*Q69,"")</f>
        <v/>
      </c>
    </row>
    <row r="70" customFormat="false" ht="15" hidden="false" customHeight="false" outlineLevel="0" collapsed="false">
      <c r="A70" s="9"/>
      <c r="B70" s="23"/>
      <c r="C70" s="9"/>
      <c r="D70" s="9"/>
      <c r="E70" s="9"/>
      <c r="F70" s="9"/>
      <c r="G70" s="9"/>
      <c r="H70" s="9"/>
      <c r="I70" s="9"/>
      <c r="J70" s="9"/>
      <c r="K70" s="9"/>
      <c r="L70" s="9"/>
      <c r="M70" s="9"/>
      <c r="N70" s="9"/>
      <c r="O70" s="9"/>
      <c r="P70" s="21" t="str">
        <f aca="false">IF(OR(A70="",LEFT(A70,2)="EX"),"",IF(AND(C70&lt;&gt;"",G70&lt;&gt;"",F70="Y",OR(I70="N",AND(I70="Y",ISNUMBER(J70)))),"Y","N"))</f>
        <v/>
      </c>
      <c r="Q70" s="22" t="str">
        <f aca="false">IF(P70="Y",IFERROR(INDEX(Questions!$D$5:$D$10,MATCH(G70,Questions!$A$5:$A$10,0)),1),"")</f>
        <v/>
      </c>
      <c r="R70" s="22" t="str">
        <f aca="false">IF(P70&lt;&gt;"Y","",IF(I70="N",0,INDEX(Settings!$B$15:$B$20,MATCH(MIN(J70,6),Settings!$A$15:$A$20,0))/Settings!$B$22*100))</f>
        <v/>
      </c>
      <c r="S70" s="22" t="str">
        <f aca="false">IF(P70="Y",R70*Q70,"")</f>
        <v/>
      </c>
    </row>
    <row r="71" customFormat="false" ht="15" hidden="false" customHeight="false" outlineLevel="0" collapsed="false">
      <c r="A71" s="9"/>
      <c r="B71" s="23"/>
      <c r="C71" s="9"/>
      <c r="D71" s="9"/>
      <c r="E71" s="9"/>
      <c r="F71" s="9"/>
      <c r="G71" s="9"/>
      <c r="H71" s="9"/>
      <c r="I71" s="9"/>
      <c r="J71" s="9"/>
      <c r="K71" s="9"/>
      <c r="L71" s="9"/>
      <c r="M71" s="9"/>
      <c r="N71" s="9"/>
      <c r="O71" s="9"/>
      <c r="P71" s="21" t="str">
        <f aca="false">IF(OR(A71="",LEFT(A71,2)="EX"),"",IF(AND(C71&lt;&gt;"",G71&lt;&gt;"",F71="Y",OR(I71="N",AND(I71="Y",ISNUMBER(J71)))),"Y","N"))</f>
        <v/>
      </c>
      <c r="Q71" s="22" t="str">
        <f aca="false">IF(P71="Y",IFERROR(INDEX(Questions!$D$5:$D$10,MATCH(G71,Questions!$A$5:$A$10,0)),1),"")</f>
        <v/>
      </c>
      <c r="R71" s="22" t="str">
        <f aca="false">IF(P71&lt;&gt;"Y","",IF(I71="N",0,INDEX(Settings!$B$15:$B$20,MATCH(MIN(J71,6),Settings!$A$15:$A$20,0))/Settings!$B$22*100))</f>
        <v/>
      </c>
      <c r="S71" s="22" t="str">
        <f aca="false">IF(P71="Y",R71*Q71,"")</f>
        <v/>
      </c>
    </row>
    <row r="72" customFormat="false" ht="15" hidden="false" customHeight="false" outlineLevel="0" collapsed="false">
      <c r="A72" s="9"/>
      <c r="B72" s="23"/>
      <c r="C72" s="9"/>
      <c r="D72" s="9"/>
      <c r="E72" s="9"/>
      <c r="F72" s="9"/>
      <c r="G72" s="9"/>
      <c r="H72" s="9"/>
      <c r="I72" s="9"/>
      <c r="J72" s="9"/>
      <c r="K72" s="9"/>
      <c r="L72" s="9"/>
      <c r="M72" s="9"/>
      <c r="N72" s="9"/>
      <c r="O72" s="9"/>
      <c r="P72" s="21" t="str">
        <f aca="false">IF(OR(A72="",LEFT(A72,2)="EX"),"",IF(AND(C72&lt;&gt;"",G72&lt;&gt;"",F72="Y",OR(I72="N",AND(I72="Y",ISNUMBER(J72)))),"Y","N"))</f>
        <v/>
      </c>
      <c r="Q72" s="22" t="str">
        <f aca="false">IF(P72="Y",IFERROR(INDEX(Questions!$D$5:$D$10,MATCH(G72,Questions!$A$5:$A$10,0)),1),"")</f>
        <v/>
      </c>
      <c r="R72" s="22" t="str">
        <f aca="false">IF(P72&lt;&gt;"Y","",IF(I72="N",0,INDEX(Settings!$B$15:$B$20,MATCH(MIN(J72,6),Settings!$A$15:$A$20,0))/Settings!$B$22*100))</f>
        <v/>
      </c>
      <c r="S72" s="22" t="str">
        <f aca="false">IF(P72="Y",R72*Q72,"")</f>
        <v/>
      </c>
    </row>
    <row r="73" customFormat="false" ht="15" hidden="false" customHeight="false" outlineLevel="0" collapsed="false">
      <c r="A73" s="9"/>
      <c r="B73" s="23"/>
      <c r="C73" s="9"/>
      <c r="D73" s="9"/>
      <c r="E73" s="9"/>
      <c r="F73" s="9"/>
      <c r="G73" s="9"/>
      <c r="H73" s="9"/>
      <c r="I73" s="9"/>
      <c r="J73" s="9"/>
      <c r="K73" s="9"/>
      <c r="L73" s="9"/>
      <c r="M73" s="9"/>
      <c r="N73" s="9"/>
      <c r="O73" s="9"/>
      <c r="P73" s="21" t="str">
        <f aca="false">IF(OR(A73="",LEFT(A73,2)="EX"),"",IF(AND(C73&lt;&gt;"",G73&lt;&gt;"",F73="Y",OR(I73="N",AND(I73="Y",ISNUMBER(J73)))),"Y","N"))</f>
        <v/>
      </c>
      <c r="Q73" s="22" t="str">
        <f aca="false">IF(P73="Y",IFERROR(INDEX(Questions!$D$5:$D$10,MATCH(G73,Questions!$A$5:$A$10,0)),1),"")</f>
        <v/>
      </c>
      <c r="R73" s="22" t="str">
        <f aca="false">IF(P73&lt;&gt;"Y","",IF(I73="N",0,INDEX(Settings!$B$15:$B$20,MATCH(MIN(J73,6),Settings!$A$15:$A$20,0))/Settings!$B$22*100))</f>
        <v/>
      </c>
      <c r="S73" s="22" t="str">
        <f aca="false">IF(P73="Y",R73*Q73,"")</f>
        <v/>
      </c>
    </row>
    <row r="74" customFormat="false" ht="15" hidden="false" customHeight="false" outlineLevel="0" collapsed="false">
      <c r="A74" s="9"/>
      <c r="B74" s="23"/>
      <c r="C74" s="9"/>
      <c r="D74" s="9"/>
      <c r="E74" s="9"/>
      <c r="F74" s="9"/>
      <c r="G74" s="9"/>
      <c r="H74" s="9"/>
      <c r="I74" s="9"/>
      <c r="J74" s="9"/>
      <c r="K74" s="9"/>
      <c r="L74" s="9"/>
      <c r="M74" s="9"/>
      <c r="N74" s="9"/>
      <c r="O74" s="9"/>
      <c r="P74" s="21" t="str">
        <f aca="false">IF(OR(A74="",LEFT(A74,2)="EX"),"",IF(AND(C74&lt;&gt;"",G74&lt;&gt;"",F74="Y",OR(I74="N",AND(I74="Y",ISNUMBER(J74)))),"Y","N"))</f>
        <v/>
      </c>
      <c r="Q74" s="22" t="str">
        <f aca="false">IF(P74="Y",IFERROR(INDEX(Questions!$D$5:$D$10,MATCH(G74,Questions!$A$5:$A$10,0)),1),"")</f>
        <v/>
      </c>
      <c r="R74" s="22" t="str">
        <f aca="false">IF(P74&lt;&gt;"Y","",IF(I74="N",0,INDEX(Settings!$B$15:$B$20,MATCH(MIN(J74,6),Settings!$A$15:$A$20,0))/Settings!$B$22*100))</f>
        <v/>
      </c>
      <c r="S74" s="22" t="str">
        <f aca="false">IF(P74="Y",R74*Q74,"")</f>
        <v/>
      </c>
    </row>
    <row r="75" customFormat="false" ht="15" hidden="false" customHeight="false" outlineLevel="0" collapsed="false">
      <c r="A75" s="9"/>
      <c r="B75" s="23"/>
      <c r="C75" s="9"/>
      <c r="D75" s="9"/>
      <c r="E75" s="9"/>
      <c r="F75" s="9"/>
      <c r="G75" s="9"/>
      <c r="H75" s="9"/>
      <c r="I75" s="9"/>
      <c r="J75" s="9"/>
      <c r="K75" s="9"/>
      <c r="L75" s="9"/>
      <c r="M75" s="9"/>
      <c r="N75" s="9"/>
      <c r="O75" s="9"/>
      <c r="P75" s="21" t="str">
        <f aca="false">IF(OR(A75="",LEFT(A75,2)="EX"),"",IF(AND(C75&lt;&gt;"",G75&lt;&gt;"",F75="Y",OR(I75="N",AND(I75="Y",ISNUMBER(J75)))),"Y","N"))</f>
        <v/>
      </c>
      <c r="Q75" s="22" t="str">
        <f aca="false">IF(P75="Y",IFERROR(INDEX(Questions!$D$5:$D$10,MATCH(G75,Questions!$A$5:$A$10,0)),1),"")</f>
        <v/>
      </c>
      <c r="R75" s="22" t="str">
        <f aca="false">IF(P75&lt;&gt;"Y","",IF(I75="N",0,INDEX(Settings!$B$15:$B$20,MATCH(MIN(J75,6),Settings!$A$15:$A$20,0))/Settings!$B$22*100))</f>
        <v/>
      </c>
      <c r="S75" s="22" t="str">
        <f aca="false">IF(P75="Y",R75*Q75,"")</f>
        <v/>
      </c>
    </row>
    <row r="76" customFormat="false" ht="15" hidden="false" customHeight="false" outlineLevel="0" collapsed="false">
      <c r="A76" s="9"/>
      <c r="B76" s="23"/>
      <c r="C76" s="9"/>
      <c r="D76" s="9"/>
      <c r="E76" s="9"/>
      <c r="F76" s="9"/>
      <c r="G76" s="9"/>
      <c r="H76" s="9"/>
      <c r="I76" s="9"/>
      <c r="J76" s="9"/>
      <c r="K76" s="9"/>
      <c r="L76" s="9"/>
      <c r="M76" s="9"/>
      <c r="N76" s="9"/>
      <c r="O76" s="9"/>
      <c r="P76" s="21" t="str">
        <f aca="false">IF(OR(A76="",LEFT(A76,2)="EX"),"",IF(AND(C76&lt;&gt;"",G76&lt;&gt;"",F76="Y",OR(I76="N",AND(I76="Y",ISNUMBER(J76)))),"Y","N"))</f>
        <v/>
      </c>
      <c r="Q76" s="22" t="str">
        <f aca="false">IF(P76="Y",IFERROR(INDEX(Questions!$D$5:$D$10,MATCH(G76,Questions!$A$5:$A$10,0)),1),"")</f>
        <v/>
      </c>
      <c r="R76" s="22" t="str">
        <f aca="false">IF(P76&lt;&gt;"Y","",IF(I76="N",0,INDEX(Settings!$B$15:$B$20,MATCH(MIN(J76,6),Settings!$A$15:$A$20,0))/Settings!$B$22*100))</f>
        <v/>
      </c>
      <c r="S76" s="22" t="str">
        <f aca="false">IF(P76="Y",R76*Q76,"")</f>
        <v/>
      </c>
    </row>
    <row r="77" customFormat="false" ht="15" hidden="false" customHeight="false" outlineLevel="0" collapsed="false">
      <c r="A77" s="9"/>
      <c r="B77" s="23"/>
      <c r="C77" s="9"/>
      <c r="D77" s="9"/>
      <c r="E77" s="9"/>
      <c r="F77" s="9"/>
      <c r="G77" s="9"/>
      <c r="H77" s="9"/>
      <c r="I77" s="9"/>
      <c r="J77" s="9"/>
      <c r="K77" s="9"/>
      <c r="L77" s="9"/>
      <c r="M77" s="9"/>
      <c r="N77" s="9"/>
      <c r="O77" s="9"/>
      <c r="P77" s="21" t="str">
        <f aca="false">IF(OR(A77="",LEFT(A77,2)="EX"),"",IF(AND(C77&lt;&gt;"",G77&lt;&gt;"",F77="Y",OR(I77="N",AND(I77="Y",ISNUMBER(J77)))),"Y","N"))</f>
        <v/>
      </c>
      <c r="Q77" s="22" t="str">
        <f aca="false">IF(P77="Y",IFERROR(INDEX(Questions!$D$5:$D$10,MATCH(G77,Questions!$A$5:$A$10,0)),1),"")</f>
        <v/>
      </c>
      <c r="R77" s="22" t="str">
        <f aca="false">IF(P77&lt;&gt;"Y","",IF(I77="N",0,INDEX(Settings!$B$15:$B$20,MATCH(MIN(J77,6),Settings!$A$15:$A$20,0))/Settings!$B$22*100))</f>
        <v/>
      </c>
      <c r="S77" s="22" t="str">
        <f aca="false">IF(P77="Y",R77*Q77,"")</f>
        <v/>
      </c>
    </row>
    <row r="78" customFormat="false" ht="15" hidden="false" customHeight="false" outlineLevel="0" collapsed="false">
      <c r="A78" s="9"/>
      <c r="B78" s="23"/>
      <c r="C78" s="9"/>
      <c r="D78" s="9"/>
      <c r="E78" s="9"/>
      <c r="F78" s="9"/>
      <c r="G78" s="9"/>
      <c r="H78" s="9"/>
      <c r="I78" s="9"/>
      <c r="J78" s="9"/>
      <c r="K78" s="9"/>
      <c r="L78" s="9"/>
      <c r="M78" s="9"/>
      <c r="N78" s="9"/>
      <c r="O78" s="9"/>
      <c r="P78" s="21" t="str">
        <f aca="false">IF(OR(A78="",LEFT(A78,2)="EX"),"",IF(AND(C78&lt;&gt;"",G78&lt;&gt;"",F78="Y",OR(I78="N",AND(I78="Y",ISNUMBER(J78)))),"Y","N"))</f>
        <v/>
      </c>
      <c r="Q78" s="22" t="str">
        <f aca="false">IF(P78="Y",IFERROR(INDEX(Questions!$D$5:$D$10,MATCH(G78,Questions!$A$5:$A$10,0)),1),"")</f>
        <v/>
      </c>
      <c r="R78" s="22" t="str">
        <f aca="false">IF(P78&lt;&gt;"Y","",IF(I78="N",0,INDEX(Settings!$B$15:$B$20,MATCH(MIN(J78,6),Settings!$A$15:$A$20,0))/Settings!$B$22*100))</f>
        <v/>
      </c>
      <c r="S78" s="22" t="str">
        <f aca="false">IF(P78="Y",R78*Q78,"")</f>
        <v/>
      </c>
    </row>
    <row r="79" customFormat="false" ht="15" hidden="false" customHeight="false" outlineLevel="0" collapsed="false">
      <c r="A79" s="9"/>
      <c r="B79" s="23"/>
      <c r="C79" s="9"/>
      <c r="D79" s="9"/>
      <c r="E79" s="9"/>
      <c r="F79" s="9"/>
      <c r="G79" s="9"/>
      <c r="H79" s="9"/>
      <c r="I79" s="9"/>
      <c r="J79" s="9"/>
      <c r="K79" s="9"/>
      <c r="L79" s="9"/>
      <c r="M79" s="9"/>
      <c r="N79" s="9"/>
      <c r="O79" s="9"/>
      <c r="P79" s="21" t="str">
        <f aca="false">IF(OR(A79="",LEFT(A79,2)="EX"),"",IF(AND(C79&lt;&gt;"",G79&lt;&gt;"",F79="Y",OR(I79="N",AND(I79="Y",ISNUMBER(J79)))),"Y","N"))</f>
        <v/>
      </c>
      <c r="Q79" s="22" t="str">
        <f aca="false">IF(P79="Y",IFERROR(INDEX(Questions!$D$5:$D$10,MATCH(G79,Questions!$A$5:$A$10,0)),1),"")</f>
        <v/>
      </c>
      <c r="R79" s="22" t="str">
        <f aca="false">IF(P79&lt;&gt;"Y","",IF(I79="N",0,INDEX(Settings!$B$15:$B$20,MATCH(MIN(J79,6),Settings!$A$15:$A$20,0))/Settings!$B$22*100))</f>
        <v/>
      </c>
      <c r="S79" s="22" t="str">
        <f aca="false">IF(P79="Y",R79*Q79,"")</f>
        <v/>
      </c>
    </row>
    <row r="80" customFormat="false" ht="15" hidden="false" customHeight="false" outlineLevel="0" collapsed="false">
      <c r="A80" s="9"/>
      <c r="B80" s="23"/>
      <c r="C80" s="9"/>
      <c r="D80" s="9"/>
      <c r="E80" s="9"/>
      <c r="F80" s="9"/>
      <c r="G80" s="9"/>
      <c r="H80" s="9"/>
      <c r="I80" s="9"/>
      <c r="J80" s="9"/>
      <c r="K80" s="9"/>
      <c r="L80" s="9"/>
      <c r="M80" s="9"/>
      <c r="N80" s="9"/>
      <c r="O80" s="9"/>
      <c r="P80" s="21" t="str">
        <f aca="false">IF(OR(A80="",LEFT(A80,2)="EX"),"",IF(AND(C80&lt;&gt;"",G80&lt;&gt;"",F80="Y",OR(I80="N",AND(I80="Y",ISNUMBER(J80)))),"Y","N"))</f>
        <v/>
      </c>
      <c r="Q80" s="22" t="str">
        <f aca="false">IF(P80="Y",IFERROR(INDEX(Questions!$D$5:$D$10,MATCH(G80,Questions!$A$5:$A$10,0)),1),"")</f>
        <v/>
      </c>
      <c r="R80" s="22" t="str">
        <f aca="false">IF(P80&lt;&gt;"Y","",IF(I80="N",0,INDEX(Settings!$B$15:$B$20,MATCH(MIN(J80,6),Settings!$A$15:$A$20,0))/Settings!$B$22*100))</f>
        <v/>
      </c>
      <c r="S80" s="22" t="str">
        <f aca="false">IF(P80="Y",R80*Q80,"")</f>
        <v/>
      </c>
    </row>
    <row r="81" customFormat="false" ht="15" hidden="false" customHeight="false" outlineLevel="0" collapsed="false">
      <c r="A81" s="9"/>
      <c r="B81" s="23"/>
      <c r="C81" s="9"/>
      <c r="D81" s="9"/>
      <c r="E81" s="9"/>
      <c r="F81" s="9"/>
      <c r="G81" s="9"/>
      <c r="H81" s="9"/>
      <c r="I81" s="9"/>
      <c r="J81" s="9"/>
      <c r="K81" s="9"/>
      <c r="L81" s="9"/>
      <c r="M81" s="9"/>
      <c r="N81" s="9"/>
      <c r="O81" s="9"/>
      <c r="P81" s="21" t="str">
        <f aca="false">IF(OR(A81="",LEFT(A81,2)="EX"),"",IF(AND(C81&lt;&gt;"",G81&lt;&gt;"",F81="Y",OR(I81="N",AND(I81="Y",ISNUMBER(J81)))),"Y","N"))</f>
        <v/>
      </c>
      <c r="Q81" s="22" t="str">
        <f aca="false">IF(P81="Y",IFERROR(INDEX(Questions!$D$5:$D$10,MATCH(G81,Questions!$A$5:$A$10,0)),1),"")</f>
        <v/>
      </c>
      <c r="R81" s="22" t="str">
        <f aca="false">IF(P81&lt;&gt;"Y","",IF(I81="N",0,INDEX(Settings!$B$15:$B$20,MATCH(MIN(J81,6),Settings!$A$15:$A$20,0))/Settings!$B$22*100))</f>
        <v/>
      </c>
      <c r="S81" s="22" t="str">
        <f aca="false">IF(P81="Y",R81*Q81,"")</f>
        <v/>
      </c>
    </row>
    <row r="82" customFormat="false" ht="15" hidden="false" customHeight="false" outlineLevel="0" collapsed="false">
      <c r="A82" s="9"/>
      <c r="B82" s="23"/>
      <c r="C82" s="9"/>
      <c r="D82" s="9"/>
      <c r="E82" s="9"/>
      <c r="F82" s="9"/>
      <c r="G82" s="9"/>
      <c r="H82" s="9"/>
      <c r="I82" s="9"/>
      <c r="J82" s="9"/>
      <c r="K82" s="9"/>
      <c r="L82" s="9"/>
      <c r="M82" s="9"/>
      <c r="N82" s="9"/>
      <c r="O82" s="9"/>
      <c r="P82" s="21" t="str">
        <f aca="false">IF(OR(A82="",LEFT(A82,2)="EX"),"",IF(AND(C82&lt;&gt;"",G82&lt;&gt;"",F82="Y",OR(I82="N",AND(I82="Y",ISNUMBER(J82)))),"Y","N"))</f>
        <v/>
      </c>
      <c r="Q82" s="22" t="str">
        <f aca="false">IF(P82="Y",IFERROR(INDEX(Questions!$D$5:$D$10,MATCH(G82,Questions!$A$5:$A$10,0)),1),"")</f>
        <v/>
      </c>
      <c r="R82" s="22" t="str">
        <f aca="false">IF(P82&lt;&gt;"Y","",IF(I82="N",0,INDEX(Settings!$B$15:$B$20,MATCH(MIN(J82,6),Settings!$A$15:$A$20,0))/Settings!$B$22*100))</f>
        <v/>
      </c>
      <c r="S82" s="22" t="str">
        <f aca="false">IF(P82="Y",R82*Q82,"")</f>
        <v/>
      </c>
    </row>
    <row r="83" customFormat="false" ht="15" hidden="false" customHeight="false" outlineLevel="0" collapsed="false">
      <c r="A83" s="9"/>
      <c r="B83" s="23"/>
      <c r="C83" s="9"/>
      <c r="D83" s="9"/>
      <c r="E83" s="9"/>
      <c r="F83" s="9"/>
      <c r="G83" s="9"/>
      <c r="H83" s="9"/>
      <c r="I83" s="9"/>
      <c r="J83" s="9"/>
      <c r="K83" s="9"/>
      <c r="L83" s="9"/>
      <c r="M83" s="9"/>
      <c r="N83" s="9"/>
      <c r="O83" s="9"/>
      <c r="P83" s="21" t="str">
        <f aca="false">IF(OR(A83="",LEFT(A83,2)="EX"),"",IF(AND(C83&lt;&gt;"",G83&lt;&gt;"",F83="Y",OR(I83="N",AND(I83="Y",ISNUMBER(J83)))),"Y","N"))</f>
        <v/>
      </c>
      <c r="Q83" s="22" t="str">
        <f aca="false">IF(P83="Y",IFERROR(INDEX(Questions!$D$5:$D$10,MATCH(G83,Questions!$A$5:$A$10,0)),1),"")</f>
        <v/>
      </c>
      <c r="R83" s="22" t="str">
        <f aca="false">IF(P83&lt;&gt;"Y","",IF(I83="N",0,INDEX(Settings!$B$15:$B$20,MATCH(MIN(J83,6),Settings!$A$15:$A$20,0))/Settings!$B$22*100))</f>
        <v/>
      </c>
      <c r="S83" s="22" t="str">
        <f aca="false">IF(P83="Y",R83*Q83,"")</f>
        <v/>
      </c>
    </row>
    <row r="84" customFormat="false" ht="15" hidden="false" customHeight="false" outlineLevel="0" collapsed="false">
      <c r="A84" s="9"/>
      <c r="B84" s="23"/>
      <c r="C84" s="9"/>
      <c r="D84" s="9"/>
      <c r="E84" s="9"/>
      <c r="F84" s="9"/>
      <c r="G84" s="9"/>
      <c r="H84" s="9"/>
      <c r="I84" s="9"/>
      <c r="J84" s="9"/>
      <c r="K84" s="9"/>
      <c r="L84" s="9"/>
      <c r="M84" s="9"/>
      <c r="N84" s="9"/>
      <c r="O84" s="9"/>
      <c r="P84" s="21" t="str">
        <f aca="false">IF(OR(A84="",LEFT(A84,2)="EX"),"",IF(AND(C84&lt;&gt;"",G84&lt;&gt;"",F84="Y",OR(I84="N",AND(I84="Y",ISNUMBER(J84)))),"Y","N"))</f>
        <v/>
      </c>
      <c r="Q84" s="22" t="str">
        <f aca="false">IF(P84="Y",IFERROR(INDEX(Questions!$D$5:$D$10,MATCH(G84,Questions!$A$5:$A$10,0)),1),"")</f>
        <v/>
      </c>
      <c r="R84" s="22" t="str">
        <f aca="false">IF(P84&lt;&gt;"Y","",IF(I84="N",0,INDEX(Settings!$B$15:$B$20,MATCH(MIN(J84,6),Settings!$A$15:$A$20,0))/Settings!$B$22*100))</f>
        <v/>
      </c>
      <c r="S84" s="22" t="str">
        <f aca="false">IF(P84="Y",R84*Q84,"")</f>
        <v/>
      </c>
    </row>
    <row r="85" customFormat="false" ht="15" hidden="false" customHeight="false" outlineLevel="0" collapsed="false">
      <c r="A85" s="9"/>
      <c r="B85" s="23"/>
      <c r="C85" s="9"/>
      <c r="D85" s="9"/>
      <c r="E85" s="9"/>
      <c r="F85" s="9"/>
      <c r="G85" s="9"/>
      <c r="H85" s="9"/>
      <c r="I85" s="9"/>
      <c r="J85" s="9"/>
      <c r="K85" s="9"/>
      <c r="L85" s="9"/>
      <c r="M85" s="9"/>
      <c r="N85" s="9"/>
      <c r="O85" s="9"/>
      <c r="P85" s="21" t="str">
        <f aca="false">IF(OR(A85="",LEFT(A85,2)="EX"),"",IF(AND(C85&lt;&gt;"",G85&lt;&gt;"",F85="Y",OR(I85="N",AND(I85="Y",ISNUMBER(J85)))),"Y","N"))</f>
        <v/>
      </c>
      <c r="Q85" s="22" t="str">
        <f aca="false">IF(P85="Y",IFERROR(INDEX(Questions!$D$5:$D$10,MATCH(G85,Questions!$A$5:$A$10,0)),1),"")</f>
        <v/>
      </c>
      <c r="R85" s="22" t="str">
        <f aca="false">IF(P85&lt;&gt;"Y","",IF(I85="N",0,INDEX(Settings!$B$15:$B$20,MATCH(MIN(J85,6),Settings!$A$15:$A$20,0))/Settings!$B$22*100))</f>
        <v/>
      </c>
      <c r="S85" s="22" t="str">
        <f aca="false">IF(P85="Y",R85*Q85,"")</f>
        <v/>
      </c>
    </row>
    <row r="86" customFormat="false" ht="15" hidden="false" customHeight="false" outlineLevel="0" collapsed="false">
      <c r="A86" s="9"/>
      <c r="B86" s="23"/>
      <c r="C86" s="9"/>
      <c r="D86" s="9"/>
      <c r="E86" s="9"/>
      <c r="F86" s="9"/>
      <c r="G86" s="9"/>
      <c r="H86" s="9"/>
      <c r="I86" s="9"/>
      <c r="J86" s="9"/>
      <c r="K86" s="9"/>
      <c r="L86" s="9"/>
      <c r="M86" s="9"/>
      <c r="N86" s="9"/>
      <c r="O86" s="9"/>
      <c r="P86" s="21" t="str">
        <f aca="false">IF(OR(A86="",LEFT(A86,2)="EX"),"",IF(AND(C86&lt;&gt;"",G86&lt;&gt;"",F86="Y",OR(I86="N",AND(I86="Y",ISNUMBER(J86)))),"Y","N"))</f>
        <v/>
      </c>
      <c r="Q86" s="22" t="str">
        <f aca="false">IF(P86="Y",IFERROR(INDEX(Questions!$D$5:$D$10,MATCH(G86,Questions!$A$5:$A$10,0)),1),"")</f>
        <v/>
      </c>
      <c r="R86" s="22" t="str">
        <f aca="false">IF(P86&lt;&gt;"Y","",IF(I86="N",0,INDEX(Settings!$B$15:$B$20,MATCH(MIN(J86,6),Settings!$A$15:$A$20,0))/Settings!$B$22*100))</f>
        <v/>
      </c>
      <c r="S86" s="22" t="str">
        <f aca="false">IF(P86="Y",R86*Q86,"")</f>
        <v/>
      </c>
    </row>
    <row r="87" customFormat="false" ht="15" hidden="false" customHeight="false" outlineLevel="0" collapsed="false">
      <c r="A87" s="9"/>
      <c r="B87" s="23"/>
      <c r="C87" s="9"/>
      <c r="D87" s="9"/>
      <c r="E87" s="9"/>
      <c r="F87" s="9"/>
      <c r="G87" s="9"/>
      <c r="H87" s="9"/>
      <c r="I87" s="9"/>
      <c r="J87" s="9"/>
      <c r="K87" s="9"/>
      <c r="L87" s="9"/>
      <c r="M87" s="9"/>
      <c r="N87" s="9"/>
      <c r="O87" s="9"/>
      <c r="P87" s="21" t="str">
        <f aca="false">IF(OR(A87="",LEFT(A87,2)="EX"),"",IF(AND(C87&lt;&gt;"",G87&lt;&gt;"",F87="Y",OR(I87="N",AND(I87="Y",ISNUMBER(J87)))),"Y","N"))</f>
        <v/>
      </c>
      <c r="Q87" s="22" t="str">
        <f aca="false">IF(P87="Y",IFERROR(INDEX(Questions!$D$5:$D$10,MATCH(G87,Questions!$A$5:$A$10,0)),1),"")</f>
        <v/>
      </c>
      <c r="R87" s="22" t="str">
        <f aca="false">IF(P87&lt;&gt;"Y","",IF(I87="N",0,INDEX(Settings!$B$15:$B$20,MATCH(MIN(J87,6),Settings!$A$15:$A$20,0))/Settings!$B$22*100))</f>
        <v/>
      </c>
      <c r="S87" s="22" t="str">
        <f aca="false">IF(P87="Y",R87*Q87,"")</f>
        <v/>
      </c>
    </row>
    <row r="88" customFormat="false" ht="15" hidden="false" customHeight="false" outlineLevel="0" collapsed="false">
      <c r="A88" s="9"/>
      <c r="B88" s="23"/>
      <c r="C88" s="9"/>
      <c r="D88" s="9"/>
      <c r="E88" s="9"/>
      <c r="F88" s="9"/>
      <c r="G88" s="9"/>
      <c r="H88" s="9"/>
      <c r="I88" s="9"/>
      <c r="J88" s="9"/>
      <c r="K88" s="9"/>
      <c r="L88" s="9"/>
      <c r="M88" s="9"/>
      <c r="N88" s="9"/>
      <c r="O88" s="9"/>
      <c r="P88" s="21" t="str">
        <f aca="false">IF(OR(A88="",LEFT(A88,2)="EX"),"",IF(AND(C88&lt;&gt;"",G88&lt;&gt;"",F88="Y",OR(I88="N",AND(I88="Y",ISNUMBER(J88)))),"Y","N"))</f>
        <v/>
      </c>
      <c r="Q88" s="22" t="str">
        <f aca="false">IF(P88="Y",IFERROR(INDEX(Questions!$D$5:$D$10,MATCH(G88,Questions!$A$5:$A$10,0)),1),"")</f>
        <v/>
      </c>
      <c r="R88" s="22" t="str">
        <f aca="false">IF(P88&lt;&gt;"Y","",IF(I88="N",0,INDEX(Settings!$B$15:$B$20,MATCH(MIN(J88,6),Settings!$A$15:$A$20,0))/Settings!$B$22*100))</f>
        <v/>
      </c>
      <c r="S88" s="22" t="str">
        <f aca="false">IF(P88="Y",R88*Q88,"")</f>
        <v/>
      </c>
    </row>
    <row r="89" customFormat="false" ht="15" hidden="false" customHeight="false" outlineLevel="0" collapsed="false">
      <c r="A89" s="9"/>
      <c r="B89" s="23"/>
      <c r="C89" s="9"/>
      <c r="D89" s="9"/>
      <c r="E89" s="9"/>
      <c r="F89" s="9"/>
      <c r="G89" s="9"/>
      <c r="H89" s="9"/>
      <c r="I89" s="9"/>
      <c r="J89" s="9"/>
      <c r="K89" s="9"/>
      <c r="L89" s="9"/>
      <c r="M89" s="9"/>
      <c r="N89" s="9"/>
      <c r="O89" s="9"/>
      <c r="P89" s="21" t="str">
        <f aca="false">IF(OR(A89="",LEFT(A89,2)="EX"),"",IF(AND(C89&lt;&gt;"",G89&lt;&gt;"",F89="Y",OR(I89="N",AND(I89="Y",ISNUMBER(J89)))),"Y","N"))</f>
        <v/>
      </c>
      <c r="Q89" s="22" t="str">
        <f aca="false">IF(P89="Y",IFERROR(INDEX(Questions!$D$5:$D$10,MATCH(G89,Questions!$A$5:$A$10,0)),1),"")</f>
        <v/>
      </c>
      <c r="R89" s="22" t="str">
        <f aca="false">IF(P89&lt;&gt;"Y","",IF(I89="N",0,INDEX(Settings!$B$15:$B$20,MATCH(MIN(J89,6),Settings!$A$15:$A$20,0))/Settings!$B$22*100))</f>
        <v/>
      </c>
      <c r="S89" s="22" t="str">
        <f aca="false">IF(P89="Y",R89*Q89,"")</f>
        <v/>
      </c>
    </row>
    <row r="90" customFormat="false" ht="15" hidden="false" customHeight="false" outlineLevel="0" collapsed="false">
      <c r="A90" s="9"/>
      <c r="B90" s="23"/>
      <c r="C90" s="9"/>
      <c r="D90" s="9"/>
      <c r="E90" s="9"/>
      <c r="F90" s="9"/>
      <c r="G90" s="9"/>
      <c r="H90" s="9"/>
      <c r="I90" s="9"/>
      <c r="J90" s="9"/>
      <c r="K90" s="9"/>
      <c r="L90" s="9"/>
      <c r="M90" s="9"/>
      <c r="N90" s="9"/>
      <c r="O90" s="9"/>
      <c r="P90" s="21" t="str">
        <f aca="false">IF(OR(A90="",LEFT(A90,2)="EX"),"",IF(AND(C90&lt;&gt;"",G90&lt;&gt;"",F90="Y",OR(I90="N",AND(I90="Y",ISNUMBER(J90)))),"Y","N"))</f>
        <v/>
      </c>
      <c r="Q90" s="22" t="str">
        <f aca="false">IF(P90="Y",IFERROR(INDEX(Questions!$D$5:$D$10,MATCH(G90,Questions!$A$5:$A$10,0)),1),"")</f>
        <v/>
      </c>
      <c r="R90" s="22" t="str">
        <f aca="false">IF(P90&lt;&gt;"Y","",IF(I90="N",0,INDEX(Settings!$B$15:$B$20,MATCH(MIN(J90,6),Settings!$A$15:$A$20,0))/Settings!$B$22*100))</f>
        <v/>
      </c>
      <c r="S90" s="22" t="str">
        <f aca="false">IF(P90="Y",R90*Q90,"")</f>
        <v/>
      </c>
    </row>
    <row r="91" customFormat="false" ht="15" hidden="false" customHeight="false" outlineLevel="0" collapsed="false">
      <c r="A91" s="9"/>
      <c r="B91" s="23"/>
      <c r="C91" s="9"/>
      <c r="D91" s="9"/>
      <c r="E91" s="9"/>
      <c r="F91" s="9"/>
      <c r="G91" s="9"/>
      <c r="H91" s="9"/>
      <c r="I91" s="9"/>
      <c r="J91" s="9"/>
      <c r="K91" s="9"/>
      <c r="L91" s="9"/>
      <c r="M91" s="9"/>
      <c r="N91" s="9"/>
      <c r="O91" s="9"/>
      <c r="P91" s="21" t="str">
        <f aca="false">IF(OR(A91="",LEFT(A91,2)="EX"),"",IF(AND(C91&lt;&gt;"",G91&lt;&gt;"",F91="Y",OR(I91="N",AND(I91="Y",ISNUMBER(J91)))),"Y","N"))</f>
        <v/>
      </c>
      <c r="Q91" s="22" t="str">
        <f aca="false">IF(P91="Y",IFERROR(INDEX(Questions!$D$5:$D$10,MATCH(G91,Questions!$A$5:$A$10,0)),1),"")</f>
        <v/>
      </c>
      <c r="R91" s="22" t="str">
        <f aca="false">IF(P91&lt;&gt;"Y","",IF(I91="N",0,INDEX(Settings!$B$15:$B$20,MATCH(MIN(J91,6),Settings!$A$15:$A$20,0))/Settings!$B$22*100))</f>
        <v/>
      </c>
      <c r="S91" s="22" t="str">
        <f aca="false">IF(P91="Y",R91*Q91,"")</f>
        <v/>
      </c>
    </row>
    <row r="92" customFormat="false" ht="15" hidden="false" customHeight="false" outlineLevel="0" collapsed="false">
      <c r="A92" s="9"/>
      <c r="B92" s="23"/>
      <c r="C92" s="9"/>
      <c r="D92" s="9"/>
      <c r="E92" s="9"/>
      <c r="F92" s="9"/>
      <c r="G92" s="9"/>
      <c r="H92" s="9"/>
      <c r="I92" s="9"/>
      <c r="J92" s="9"/>
      <c r="K92" s="9"/>
      <c r="L92" s="9"/>
      <c r="M92" s="9"/>
      <c r="N92" s="9"/>
      <c r="O92" s="9"/>
      <c r="P92" s="21" t="str">
        <f aca="false">IF(OR(A92="",LEFT(A92,2)="EX"),"",IF(AND(C92&lt;&gt;"",G92&lt;&gt;"",F92="Y",OR(I92="N",AND(I92="Y",ISNUMBER(J92)))),"Y","N"))</f>
        <v/>
      </c>
      <c r="Q92" s="22" t="str">
        <f aca="false">IF(P92="Y",IFERROR(INDEX(Questions!$D$5:$D$10,MATCH(G92,Questions!$A$5:$A$10,0)),1),"")</f>
        <v/>
      </c>
      <c r="R92" s="22" t="str">
        <f aca="false">IF(P92&lt;&gt;"Y","",IF(I92="N",0,INDEX(Settings!$B$15:$B$20,MATCH(MIN(J92,6),Settings!$A$15:$A$20,0))/Settings!$B$22*100))</f>
        <v/>
      </c>
      <c r="S92" s="22" t="str">
        <f aca="false">IF(P92="Y",R92*Q92,"")</f>
        <v/>
      </c>
    </row>
    <row r="93" customFormat="false" ht="15" hidden="false" customHeight="false" outlineLevel="0" collapsed="false">
      <c r="A93" s="9"/>
      <c r="B93" s="23"/>
      <c r="C93" s="9"/>
      <c r="D93" s="9"/>
      <c r="E93" s="9"/>
      <c r="F93" s="9"/>
      <c r="G93" s="9"/>
      <c r="H93" s="9"/>
      <c r="I93" s="9"/>
      <c r="J93" s="9"/>
      <c r="K93" s="9"/>
      <c r="L93" s="9"/>
      <c r="M93" s="9"/>
      <c r="N93" s="9"/>
      <c r="O93" s="9"/>
      <c r="P93" s="21" t="str">
        <f aca="false">IF(OR(A93="",LEFT(A93,2)="EX"),"",IF(AND(C93&lt;&gt;"",G93&lt;&gt;"",F93="Y",OR(I93="N",AND(I93="Y",ISNUMBER(J93)))),"Y","N"))</f>
        <v/>
      </c>
      <c r="Q93" s="22" t="str">
        <f aca="false">IF(P93="Y",IFERROR(INDEX(Questions!$D$5:$D$10,MATCH(G93,Questions!$A$5:$A$10,0)),1),"")</f>
        <v/>
      </c>
      <c r="R93" s="22" t="str">
        <f aca="false">IF(P93&lt;&gt;"Y","",IF(I93="N",0,INDEX(Settings!$B$15:$B$20,MATCH(MIN(J93,6),Settings!$A$15:$A$20,0))/Settings!$B$22*100))</f>
        <v/>
      </c>
      <c r="S93" s="22" t="str">
        <f aca="false">IF(P93="Y",R93*Q93,"")</f>
        <v/>
      </c>
    </row>
    <row r="94" customFormat="false" ht="15" hidden="false" customHeight="false" outlineLevel="0" collapsed="false">
      <c r="A94" s="9"/>
      <c r="B94" s="23"/>
      <c r="C94" s="9"/>
      <c r="D94" s="9"/>
      <c r="E94" s="9"/>
      <c r="F94" s="9"/>
      <c r="G94" s="9"/>
      <c r="H94" s="9"/>
      <c r="I94" s="9"/>
      <c r="J94" s="9"/>
      <c r="K94" s="9"/>
      <c r="L94" s="9"/>
      <c r="M94" s="9"/>
      <c r="N94" s="9"/>
      <c r="O94" s="9"/>
      <c r="P94" s="21" t="str">
        <f aca="false">IF(OR(A94="",LEFT(A94,2)="EX"),"",IF(AND(C94&lt;&gt;"",G94&lt;&gt;"",F94="Y",OR(I94="N",AND(I94="Y",ISNUMBER(J94)))),"Y","N"))</f>
        <v/>
      </c>
      <c r="Q94" s="22" t="str">
        <f aca="false">IF(P94="Y",IFERROR(INDEX(Questions!$D$5:$D$10,MATCH(G94,Questions!$A$5:$A$10,0)),1),"")</f>
        <v/>
      </c>
      <c r="R94" s="22" t="str">
        <f aca="false">IF(P94&lt;&gt;"Y","",IF(I94="N",0,INDEX(Settings!$B$15:$B$20,MATCH(MIN(J94,6),Settings!$A$15:$A$20,0))/Settings!$B$22*100))</f>
        <v/>
      </c>
      <c r="S94" s="22" t="str">
        <f aca="false">IF(P94="Y",R94*Q94,"")</f>
        <v/>
      </c>
    </row>
    <row r="95" customFormat="false" ht="15" hidden="false" customHeight="false" outlineLevel="0" collapsed="false">
      <c r="A95" s="9"/>
      <c r="B95" s="23"/>
      <c r="C95" s="9"/>
      <c r="D95" s="9"/>
      <c r="E95" s="9"/>
      <c r="F95" s="9"/>
      <c r="G95" s="9"/>
      <c r="H95" s="9"/>
      <c r="I95" s="9"/>
      <c r="J95" s="9"/>
      <c r="K95" s="9"/>
      <c r="L95" s="9"/>
      <c r="M95" s="9"/>
      <c r="N95" s="9"/>
      <c r="O95" s="9"/>
      <c r="P95" s="21" t="str">
        <f aca="false">IF(OR(A95="",LEFT(A95,2)="EX"),"",IF(AND(C95&lt;&gt;"",G95&lt;&gt;"",F95="Y",OR(I95="N",AND(I95="Y",ISNUMBER(J95)))),"Y","N"))</f>
        <v/>
      </c>
      <c r="Q95" s="22" t="str">
        <f aca="false">IF(P95="Y",IFERROR(INDEX(Questions!$D$5:$D$10,MATCH(G95,Questions!$A$5:$A$10,0)),1),"")</f>
        <v/>
      </c>
      <c r="R95" s="22" t="str">
        <f aca="false">IF(P95&lt;&gt;"Y","",IF(I95="N",0,INDEX(Settings!$B$15:$B$20,MATCH(MIN(J95,6),Settings!$A$15:$A$20,0))/Settings!$B$22*100))</f>
        <v/>
      </c>
      <c r="S95" s="22" t="str">
        <f aca="false">IF(P95="Y",R95*Q95,"")</f>
        <v/>
      </c>
    </row>
    <row r="96" customFormat="false" ht="15" hidden="false" customHeight="false" outlineLevel="0" collapsed="false">
      <c r="A96" s="9"/>
      <c r="B96" s="23"/>
      <c r="C96" s="9"/>
      <c r="D96" s="9"/>
      <c r="E96" s="9"/>
      <c r="F96" s="9"/>
      <c r="G96" s="9"/>
      <c r="H96" s="9"/>
      <c r="I96" s="9"/>
      <c r="J96" s="9"/>
      <c r="K96" s="9"/>
      <c r="L96" s="9"/>
      <c r="M96" s="9"/>
      <c r="N96" s="9"/>
      <c r="O96" s="9"/>
      <c r="P96" s="21" t="str">
        <f aca="false">IF(OR(A96="",LEFT(A96,2)="EX"),"",IF(AND(C96&lt;&gt;"",G96&lt;&gt;"",F96="Y",OR(I96="N",AND(I96="Y",ISNUMBER(J96)))),"Y","N"))</f>
        <v/>
      </c>
      <c r="Q96" s="22" t="str">
        <f aca="false">IF(P96="Y",IFERROR(INDEX(Questions!$D$5:$D$10,MATCH(G96,Questions!$A$5:$A$10,0)),1),"")</f>
        <v/>
      </c>
      <c r="R96" s="22" t="str">
        <f aca="false">IF(P96&lt;&gt;"Y","",IF(I96="N",0,INDEX(Settings!$B$15:$B$20,MATCH(MIN(J96,6),Settings!$A$15:$A$20,0))/Settings!$B$22*100))</f>
        <v/>
      </c>
      <c r="S96" s="22" t="str">
        <f aca="false">IF(P96="Y",R96*Q96,"")</f>
        <v/>
      </c>
    </row>
    <row r="97" customFormat="false" ht="15" hidden="false" customHeight="false" outlineLevel="0" collapsed="false">
      <c r="A97" s="9"/>
      <c r="B97" s="23"/>
      <c r="C97" s="9"/>
      <c r="D97" s="9"/>
      <c r="E97" s="9"/>
      <c r="F97" s="9"/>
      <c r="G97" s="9"/>
      <c r="H97" s="9"/>
      <c r="I97" s="9"/>
      <c r="J97" s="9"/>
      <c r="K97" s="9"/>
      <c r="L97" s="9"/>
      <c r="M97" s="9"/>
      <c r="N97" s="9"/>
      <c r="O97" s="9"/>
      <c r="P97" s="21" t="str">
        <f aca="false">IF(OR(A97="",LEFT(A97,2)="EX"),"",IF(AND(C97&lt;&gt;"",G97&lt;&gt;"",F97="Y",OR(I97="N",AND(I97="Y",ISNUMBER(J97)))),"Y","N"))</f>
        <v/>
      </c>
      <c r="Q97" s="22" t="str">
        <f aca="false">IF(P97="Y",IFERROR(INDEX(Questions!$D$5:$D$10,MATCH(G97,Questions!$A$5:$A$10,0)),1),"")</f>
        <v/>
      </c>
      <c r="R97" s="22" t="str">
        <f aca="false">IF(P97&lt;&gt;"Y","",IF(I97="N",0,INDEX(Settings!$B$15:$B$20,MATCH(MIN(J97,6),Settings!$A$15:$A$20,0))/Settings!$B$22*100))</f>
        <v/>
      </c>
      <c r="S97" s="22" t="str">
        <f aca="false">IF(P97="Y",R97*Q97,"")</f>
        <v/>
      </c>
    </row>
    <row r="98" customFormat="false" ht="15" hidden="false" customHeight="false" outlineLevel="0" collapsed="false">
      <c r="A98" s="9"/>
      <c r="B98" s="23"/>
      <c r="C98" s="9"/>
      <c r="D98" s="9"/>
      <c r="E98" s="9"/>
      <c r="F98" s="9"/>
      <c r="G98" s="9"/>
      <c r="H98" s="9"/>
      <c r="I98" s="9"/>
      <c r="J98" s="9"/>
      <c r="K98" s="9"/>
      <c r="L98" s="9"/>
      <c r="M98" s="9"/>
      <c r="N98" s="9"/>
      <c r="O98" s="9"/>
      <c r="P98" s="21" t="str">
        <f aca="false">IF(OR(A98="",LEFT(A98,2)="EX"),"",IF(AND(C98&lt;&gt;"",G98&lt;&gt;"",F98="Y",OR(I98="N",AND(I98="Y",ISNUMBER(J98)))),"Y","N"))</f>
        <v/>
      </c>
      <c r="Q98" s="22" t="str">
        <f aca="false">IF(P98="Y",IFERROR(INDEX(Questions!$D$5:$D$10,MATCH(G98,Questions!$A$5:$A$10,0)),1),"")</f>
        <v/>
      </c>
      <c r="R98" s="22" t="str">
        <f aca="false">IF(P98&lt;&gt;"Y","",IF(I98="N",0,INDEX(Settings!$B$15:$B$20,MATCH(MIN(J98,6),Settings!$A$15:$A$20,0))/Settings!$B$22*100))</f>
        <v/>
      </c>
      <c r="S98" s="22" t="str">
        <f aca="false">IF(P98="Y",R98*Q98,"")</f>
        <v/>
      </c>
    </row>
    <row r="99" customFormat="false" ht="15" hidden="false" customHeight="false" outlineLevel="0" collapsed="false">
      <c r="A99" s="9"/>
      <c r="B99" s="23"/>
      <c r="C99" s="9"/>
      <c r="D99" s="9"/>
      <c r="E99" s="9"/>
      <c r="F99" s="9"/>
      <c r="G99" s="9"/>
      <c r="H99" s="9"/>
      <c r="I99" s="9"/>
      <c r="J99" s="9"/>
      <c r="K99" s="9"/>
      <c r="L99" s="9"/>
      <c r="M99" s="9"/>
      <c r="N99" s="9"/>
      <c r="O99" s="9"/>
      <c r="P99" s="21" t="str">
        <f aca="false">IF(OR(A99="",LEFT(A99,2)="EX"),"",IF(AND(C99&lt;&gt;"",G99&lt;&gt;"",F99="Y",OR(I99="N",AND(I99="Y",ISNUMBER(J99)))),"Y","N"))</f>
        <v/>
      </c>
      <c r="Q99" s="22" t="str">
        <f aca="false">IF(P99="Y",IFERROR(INDEX(Questions!$D$5:$D$10,MATCH(G99,Questions!$A$5:$A$10,0)),1),"")</f>
        <v/>
      </c>
      <c r="R99" s="22" t="str">
        <f aca="false">IF(P99&lt;&gt;"Y","",IF(I99="N",0,INDEX(Settings!$B$15:$B$20,MATCH(MIN(J99,6),Settings!$A$15:$A$20,0))/Settings!$B$22*100))</f>
        <v/>
      </c>
      <c r="S99" s="22" t="str">
        <f aca="false">IF(P99="Y",R99*Q99,"")</f>
        <v/>
      </c>
    </row>
    <row r="100" customFormat="false" ht="15" hidden="false" customHeight="false" outlineLevel="0" collapsed="false">
      <c r="A100" s="9"/>
      <c r="B100" s="23"/>
      <c r="C100" s="9"/>
      <c r="D100" s="9"/>
      <c r="E100" s="9"/>
      <c r="F100" s="9"/>
      <c r="G100" s="9"/>
      <c r="H100" s="9"/>
      <c r="I100" s="9"/>
      <c r="J100" s="9"/>
      <c r="K100" s="9"/>
      <c r="L100" s="9"/>
      <c r="M100" s="9"/>
      <c r="N100" s="9"/>
      <c r="O100" s="9"/>
      <c r="P100" s="21" t="str">
        <f aca="false">IF(OR(A100="",LEFT(A100,2)="EX"),"",IF(AND(C100&lt;&gt;"",G100&lt;&gt;"",F100="Y",OR(I100="N",AND(I100="Y",ISNUMBER(J100)))),"Y","N"))</f>
        <v/>
      </c>
      <c r="Q100" s="22" t="str">
        <f aca="false">IF(P100="Y",IFERROR(INDEX(Questions!$D$5:$D$10,MATCH(G100,Questions!$A$5:$A$10,0)),1),"")</f>
        <v/>
      </c>
      <c r="R100" s="22" t="str">
        <f aca="false">IF(P100&lt;&gt;"Y","",IF(I100="N",0,INDEX(Settings!$B$15:$B$20,MATCH(MIN(J100,6),Settings!$A$15:$A$20,0))/Settings!$B$22*100))</f>
        <v/>
      </c>
      <c r="S100" s="22" t="str">
        <f aca="false">IF(P100="Y",R100*Q100,"")</f>
        <v/>
      </c>
    </row>
    <row r="101" customFormat="false" ht="15" hidden="false" customHeight="false" outlineLevel="0" collapsed="false">
      <c r="A101" s="9"/>
      <c r="B101" s="23"/>
      <c r="C101" s="9"/>
      <c r="D101" s="9"/>
      <c r="E101" s="9"/>
      <c r="F101" s="9"/>
      <c r="G101" s="9"/>
      <c r="H101" s="9"/>
      <c r="I101" s="9"/>
      <c r="J101" s="9"/>
      <c r="K101" s="9"/>
      <c r="L101" s="9"/>
      <c r="M101" s="9"/>
      <c r="N101" s="9"/>
      <c r="O101" s="9"/>
      <c r="P101" s="21" t="str">
        <f aca="false">IF(OR(A101="",LEFT(A101,2)="EX"),"",IF(AND(C101&lt;&gt;"",G101&lt;&gt;"",F101="Y",OR(I101="N",AND(I101="Y",ISNUMBER(J101)))),"Y","N"))</f>
        <v/>
      </c>
      <c r="Q101" s="22" t="str">
        <f aca="false">IF(P101="Y",IFERROR(INDEX(Questions!$D$5:$D$10,MATCH(G101,Questions!$A$5:$A$10,0)),1),"")</f>
        <v/>
      </c>
      <c r="R101" s="22" t="str">
        <f aca="false">IF(P101&lt;&gt;"Y","",IF(I101="N",0,INDEX(Settings!$B$15:$B$20,MATCH(MIN(J101,6),Settings!$A$15:$A$20,0))/Settings!$B$22*100))</f>
        <v/>
      </c>
      <c r="S101" s="22" t="str">
        <f aca="false">IF(P101="Y",R101*Q101,"")</f>
        <v/>
      </c>
    </row>
    <row r="102" customFormat="false" ht="15" hidden="false" customHeight="false" outlineLevel="0" collapsed="false">
      <c r="A102" s="9"/>
      <c r="B102" s="23"/>
      <c r="C102" s="9"/>
      <c r="D102" s="9"/>
      <c r="E102" s="9"/>
      <c r="F102" s="9"/>
      <c r="G102" s="9"/>
      <c r="H102" s="9"/>
      <c r="I102" s="9"/>
      <c r="J102" s="9"/>
      <c r="K102" s="9"/>
      <c r="L102" s="9"/>
      <c r="M102" s="9"/>
      <c r="N102" s="9"/>
      <c r="O102" s="9"/>
      <c r="P102" s="21" t="str">
        <f aca="false">IF(OR(A102="",LEFT(A102,2)="EX"),"",IF(AND(C102&lt;&gt;"",G102&lt;&gt;"",F102="Y",OR(I102="N",AND(I102="Y",ISNUMBER(J102)))),"Y","N"))</f>
        <v/>
      </c>
      <c r="Q102" s="22" t="str">
        <f aca="false">IF(P102="Y",IFERROR(INDEX(Questions!$D$5:$D$10,MATCH(G102,Questions!$A$5:$A$10,0)),1),"")</f>
        <v/>
      </c>
      <c r="R102" s="22" t="str">
        <f aca="false">IF(P102&lt;&gt;"Y","",IF(I102="N",0,INDEX(Settings!$B$15:$B$20,MATCH(MIN(J102,6),Settings!$A$15:$A$20,0))/Settings!$B$22*100))</f>
        <v/>
      </c>
      <c r="S102" s="22" t="str">
        <f aca="false">IF(P102="Y",R102*Q102,"")</f>
        <v/>
      </c>
    </row>
    <row r="103" customFormat="false" ht="15" hidden="false" customHeight="false" outlineLevel="0" collapsed="false">
      <c r="A103" s="9"/>
      <c r="B103" s="23"/>
      <c r="C103" s="9"/>
      <c r="D103" s="9"/>
      <c r="E103" s="9"/>
      <c r="F103" s="9"/>
      <c r="G103" s="9"/>
      <c r="H103" s="9"/>
      <c r="I103" s="9"/>
      <c r="J103" s="9"/>
      <c r="K103" s="9"/>
      <c r="L103" s="9"/>
      <c r="M103" s="9"/>
      <c r="N103" s="9"/>
      <c r="O103" s="9"/>
      <c r="P103" s="21" t="str">
        <f aca="false">IF(OR(A103="",LEFT(A103,2)="EX"),"",IF(AND(C103&lt;&gt;"",G103&lt;&gt;"",F103="Y",OR(I103="N",AND(I103="Y",ISNUMBER(J103)))),"Y","N"))</f>
        <v/>
      </c>
      <c r="Q103" s="22" t="str">
        <f aca="false">IF(P103="Y",IFERROR(INDEX(Questions!$D$5:$D$10,MATCH(G103,Questions!$A$5:$A$10,0)),1),"")</f>
        <v/>
      </c>
      <c r="R103" s="22" t="str">
        <f aca="false">IF(P103&lt;&gt;"Y","",IF(I103="N",0,INDEX(Settings!$B$15:$B$20,MATCH(MIN(J103,6),Settings!$A$15:$A$20,0))/Settings!$B$22*100))</f>
        <v/>
      </c>
      <c r="S103" s="22" t="str">
        <f aca="false">IF(P103="Y",R103*Q103,"")</f>
        <v/>
      </c>
    </row>
    <row r="104" customFormat="false" ht="15" hidden="false" customHeight="false" outlineLevel="0" collapsed="false">
      <c r="A104" s="9"/>
      <c r="B104" s="23"/>
      <c r="C104" s="9"/>
      <c r="D104" s="9"/>
      <c r="E104" s="9"/>
      <c r="F104" s="9"/>
      <c r="G104" s="9"/>
      <c r="H104" s="9"/>
      <c r="I104" s="9"/>
      <c r="J104" s="9"/>
      <c r="K104" s="9"/>
      <c r="L104" s="9"/>
      <c r="M104" s="9"/>
      <c r="N104" s="9"/>
      <c r="O104" s="9"/>
      <c r="P104" s="21" t="str">
        <f aca="false">IF(OR(A104="",LEFT(A104,2)="EX"),"",IF(AND(C104&lt;&gt;"",G104&lt;&gt;"",F104="Y",OR(I104="N",AND(I104="Y",ISNUMBER(J104)))),"Y","N"))</f>
        <v/>
      </c>
      <c r="Q104" s="22" t="str">
        <f aca="false">IF(P104="Y",IFERROR(INDEX(Questions!$D$5:$D$10,MATCH(G104,Questions!$A$5:$A$10,0)),1),"")</f>
        <v/>
      </c>
      <c r="R104" s="22" t="str">
        <f aca="false">IF(P104&lt;&gt;"Y","",IF(I104="N",0,INDEX(Settings!$B$15:$B$20,MATCH(MIN(J104,6),Settings!$A$15:$A$20,0))/Settings!$B$22*100))</f>
        <v/>
      </c>
      <c r="S104" s="22" t="str">
        <f aca="false">IF(P104="Y",R104*Q104,"")</f>
        <v/>
      </c>
    </row>
    <row r="105" customFormat="false" ht="15" hidden="false" customHeight="false" outlineLevel="0" collapsed="false">
      <c r="A105" s="9"/>
      <c r="B105" s="23"/>
      <c r="C105" s="9"/>
      <c r="D105" s="9"/>
      <c r="E105" s="9"/>
      <c r="F105" s="9"/>
      <c r="G105" s="9"/>
      <c r="H105" s="9"/>
      <c r="I105" s="9"/>
      <c r="J105" s="9"/>
      <c r="K105" s="9"/>
      <c r="L105" s="9"/>
      <c r="M105" s="9"/>
      <c r="N105" s="9"/>
      <c r="O105" s="9"/>
      <c r="P105" s="21" t="str">
        <f aca="false">IF(OR(A105="",LEFT(A105,2)="EX"),"",IF(AND(C105&lt;&gt;"",G105&lt;&gt;"",F105="Y",OR(I105="N",AND(I105="Y",ISNUMBER(J105)))),"Y","N"))</f>
        <v/>
      </c>
      <c r="Q105" s="22" t="str">
        <f aca="false">IF(P105="Y",IFERROR(INDEX(Questions!$D$5:$D$10,MATCH(G105,Questions!$A$5:$A$10,0)),1),"")</f>
        <v/>
      </c>
      <c r="R105" s="22" t="str">
        <f aca="false">IF(P105&lt;&gt;"Y","",IF(I105="N",0,INDEX(Settings!$B$15:$B$20,MATCH(MIN(J105,6),Settings!$A$15:$A$20,0))/Settings!$B$22*100))</f>
        <v/>
      </c>
      <c r="S105" s="22" t="str">
        <f aca="false">IF(P105="Y",R105*Q105,"")</f>
        <v/>
      </c>
    </row>
    <row r="106" customFormat="false" ht="15" hidden="false" customHeight="false" outlineLevel="0" collapsed="false">
      <c r="A106" s="9"/>
      <c r="B106" s="23"/>
      <c r="C106" s="9"/>
      <c r="D106" s="9"/>
      <c r="E106" s="9"/>
      <c r="F106" s="9"/>
      <c r="G106" s="9"/>
      <c r="H106" s="9"/>
      <c r="I106" s="9"/>
      <c r="J106" s="9"/>
      <c r="K106" s="9"/>
      <c r="L106" s="9"/>
      <c r="M106" s="9"/>
      <c r="N106" s="9"/>
      <c r="O106" s="9"/>
      <c r="P106" s="21" t="str">
        <f aca="false">IF(OR(A106="",LEFT(A106,2)="EX"),"",IF(AND(C106&lt;&gt;"",G106&lt;&gt;"",F106="Y",OR(I106="N",AND(I106="Y",ISNUMBER(J106)))),"Y","N"))</f>
        <v/>
      </c>
      <c r="Q106" s="22" t="str">
        <f aca="false">IF(P106="Y",IFERROR(INDEX(Questions!$D$5:$D$10,MATCH(G106,Questions!$A$5:$A$10,0)),1),"")</f>
        <v/>
      </c>
      <c r="R106" s="22" t="str">
        <f aca="false">IF(P106&lt;&gt;"Y","",IF(I106="N",0,INDEX(Settings!$B$15:$B$20,MATCH(MIN(J106,6),Settings!$A$15:$A$20,0))/Settings!$B$22*100))</f>
        <v/>
      </c>
      <c r="S106" s="22" t="str">
        <f aca="false">IF(P106="Y",R106*Q106,"")</f>
        <v/>
      </c>
    </row>
    <row r="107" customFormat="false" ht="15" hidden="false" customHeight="false" outlineLevel="0" collapsed="false">
      <c r="A107" s="9"/>
      <c r="B107" s="23"/>
      <c r="C107" s="9"/>
      <c r="D107" s="9"/>
      <c r="E107" s="9"/>
      <c r="F107" s="9"/>
      <c r="G107" s="9"/>
      <c r="H107" s="9"/>
      <c r="I107" s="9"/>
      <c r="J107" s="9"/>
      <c r="K107" s="9"/>
      <c r="L107" s="9"/>
      <c r="M107" s="9"/>
      <c r="N107" s="9"/>
      <c r="O107" s="9"/>
      <c r="P107" s="21" t="str">
        <f aca="false">IF(OR(A107="",LEFT(A107,2)="EX"),"",IF(AND(C107&lt;&gt;"",G107&lt;&gt;"",F107="Y",OR(I107="N",AND(I107="Y",ISNUMBER(J107)))),"Y","N"))</f>
        <v/>
      </c>
      <c r="Q107" s="22" t="str">
        <f aca="false">IF(P107="Y",IFERROR(INDEX(Questions!$D$5:$D$10,MATCH(G107,Questions!$A$5:$A$10,0)),1),"")</f>
        <v/>
      </c>
      <c r="R107" s="22" t="str">
        <f aca="false">IF(P107&lt;&gt;"Y","",IF(I107="N",0,INDEX(Settings!$B$15:$B$20,MATCH(MIN(J107,6),Settings!$A$15:$A$20,0))/Settings!$B$22*100))</f>
        <v/>
      </c>
      <c r="S107" s="22" t="str">
        <f aca="false">IF(P107="Y",R107*Q107,"")</f>
        <v/>
      </c>
    </row>
    <row r="108" customFormat="false" ht="15" hidden="false" customHeight="false" outlineLevel="0" collapsed="false">
      <c r="A108" s="9"/>
      <c r="B108" s="23"/>
      <c r="C108" s="9"/>
      <c r="D108" s="9"/>
      <c r="E108" s="9"/>
      <c r="F108" s="9"/>
      <c r="G108" s="9"/>
      <c r="H108" s="9"/>
      <c r="I108" s="9"/>
      <c r="J108" s="9"/>
      <c r="K108" s="9"/>
      <c r="L108" s="9"/>
      <c r="M108" s="9"/>
      <c r="N108" s="9"/>
      <c r="O108" s="9"/>
      <c r="P108" s="21" t="str">
        <f aca="false">IF(OR(A108="",LEFT(A108,2)="EX"),"",IF(AND(C108&lt;&gt;"",G108&lt;&gt;"",F108="Y",OR(I108="N",AND(I108="Y",ISNUMBER(J108)))),"Y","N"))</f>
        <v/>
      </c>
      <c r="Q108" s="22" t="str">
        <f aca="false">IF(P108="Y",IFERROR(INDEX(Questions!$D$5:$D$10,MATCH(G108,Questions!$A$5:$A$10,0)),1),"")</f>
        <v/>
      </c>
      <c r="R108" s="22" t="str">
        <f aca="false">IF(P108&lt;&gt;"Y","",IF(I108="N",0,INDEX(Settings!$B$15:$B$20,MATCH(MIN(J108,6),Settings!$A$15:$A$20,0))/Settings!$B$22*100))</f>
        <v/>
      </c>
      <c r="S108" s="22" t="str">
        <f aca="false">IF(P108="Y",R108*Q108,"")</f>
        <v/>
      </c>
    </row>
    <row r="109" customFormat="false" ht="15" hidden="false" customHeight="false" outlineLevel="0" collapsed="false">
      <c r="A109" s="9"/>
      <c r="B109" s="23"/>
      <c r="C109" s="9"/>
      <c r="D109" s="9"/>
      <c r="E109" s="9"/>
      <c r="F109" s="9"/>
      <c r="G109" s="9"/>
      <c r="H109" s="9"/>
      <c r="I109" s="9"/>
      <c r="J109" s="9"/>
      <c r="K109" s="9"/>
      <c r="L109" s="9"/>
      <c r="M109" s="9"/>
      <c r="N109" s="9"/>
      <c r="O109" s="9"/>
      <c r="P109" s="21" t="str">
        <f aca="false">IF(OR(A109="",LEFT(A109,2)="EX"),"",IF(AND(C109&lt;&gt;"",G109&lt;&gt;"",F109="Y",OR(I109="N",AND(I109="Y",ISNUMBER(J109)))),"Y","N"))</f>
        <v/>
      </c>
      <c r="Q109" s="22" t="str">
        <f aca="false">IF(P109="Y",IFERROR(INDEX(Questions!$D$5:$D$10,MATCH(G109,Questions!$A$5:$A$10,0)),1),"")</f>
        <v/>
      </c>
      <c r="R109" s="22" t="str">
        <f aca="false">IF(P109&lt;&gt;"Y","",IF(I109="N",0,INDEX(Settings!$B$15:$B$20,MATCH(MIN(J109,6),Settings!$A$15:$A$20,0))/Settings!$B$22*100))</f>
        <v/>
      </c>
      <c r="S109" s="22" t="str">
        <f aca="false">IF(P109="Y",R109*Q109,"")</f>
        <v/>
      </c>
    </row>
    <row r="110" customFormat="false" ht="15" hidden="false" customHeight="false" outlineLevel="0" collapsed="false">
      <c r="A110" s="9"/>
      <c r="B110" s="23"/>
      <c r="C110" s="9"/>
      <c r="D110" s="9"/>
      <c r="E110" s="9"/>
      <c r="F110" s="9"/>
      <c r="G110" s="9"/>
      <c r="H110" s="9"/>
      <c r="I110" s="9"/>
      <c r="J110" s="9"/>
      <c r="K110" s="9"/>
      <c r="L110" s="9"/>
      <c r="M110" s="9"/>
      <c r="N110" s="9"/>
      <c r="O110" s="9"/>
      <c r="P110" s="21" t="str">
        <f aca="false">IF(OR(A110="",LEFT(A110,2)="EX"),"",IF(AND(C110&lt;&gt;"",G110&lt;&gt;"",F110="Y",OR(I110="N",AND(I110="Y",ISNUMBER(J110)))),"Y","N"))</f>
        <v/>
      </c>
      <c r="Q110" s="22" t="str">
        <f aca="false">IF(P110="Y",IFERROR(INDEX(Questions!$D$5:$D$10,MATCH(G110,Questions!$A$5:$A$10,0)),1),"")</f>
        <v/>
      </c>
      <c r="R110" s="22" t="str">
        <f aca="false">IF(P110&lt;&gt;"Y","",IF(I110="N",0,INDEX(Settings!$B$15:$B$20,MATCH(MIN(J110,6),Settings!$A$15:$A$20,0))/Settings!$B$22*100))</f>
        <v/>
      </c>
      <c r="S110" s="22" t="str">
        <f aca="false">IF(P110="Y",R110*Q110,"")</f>
        <v/>
      </c>
    </row>
    <row r="111" customFormat="false" ht="15" hidden="false" customHeight="false" outlineLevel="0" collapsed="false">
      <c r="A111" s="9"/>
      <c r="B111" s="23"/>
      <c r="C111" s="9"/>
      <c r="D111" s="9"/>
      <c r="E111" s="9"/>
      <c r="F111" s="9"/>
      <c r="G111" s="9"/>
      <c r="H111" s="9"/>
      <c r="I111" s="9"/>
      <c r="J111" s="9"/>
      <c r="K111" s="9"/>
      <c r="L111" s="9"/>
      <c r="M111" s="9"/>
      <c r="N111" s="9"/>
      <c r="O111" s="9"/>
      <c r="P111" s="21" t="str">
        <f aca="false">IF(OR(A111="",LEFT(A111,2)="EX"),"",IF(AND(C111&lt;&gt;"",G111&lt;&gt;"",F111="Y",OR(I111="N",AND(I111="Y",ISNUMBER(J111)))),"Y","N"))</f>
        <v/>
      </c>
      <c r="Q111" s="22" t="str">
        <f aca="false">IF(P111="Y",IFERROR(INDEX(Questions!$D$5:$D$10,MATCH(G111,Questions!$A$5:$A$10,0)),1),"")</f>
        <v/>
      </c>
      <c r="R111" s="22" t="str">
        <f aca="false">IF(P111&lt;&gt;"Y","",IF(I111="N",0,INDEX(Settings!$B$15:$B$20,MATCH(MIN(J111,6),Settings!$A$15:$A$20,0))/Settings!$B$22*100))</f>
        <v/>
      </c>
      <c r="S111" s="22" t="str">
        <f aca="false">IF(P111="Y",R111*Q111,"")</f>
        <v/>
      </c>
    </row>
    <row r="112" customFormat="false" ht="15" hidden="false" customHeight="false" outlineLevel="0" collapsed="false">
      <c r="A112" s="9"/>
      <c r="B112" s="23"/>
      <c r="C112" s="9"/>
      <c r="D112" s="9"/>
      <c r="E112" s="9"/>
      <c r="F112" s="9"/>
      <c r="G112" s="9"/>
      <c r="H112" s="9"/>
      <c r="I112" s="9"/>
      <c r="J112" s="9"/>
      <c r="K112" s="9"/>
      <c r="L112" s="9"/>
      <c r="M112" s="9"/>
      <c r="N112" s="9"/>
      <c r="O112" s="9"/>
      <c r="P112" s="21" t="str">
        <f aca="false">IF(OR(A112="",LEFT(A112,2)="EX"),"",IF(AND(C112&lt;&gt;"",G112&lt;&gt;"",F112="Y",OR(I112="N",AND(I112="Y",ISNUMBER(J112)))),"Y","N"))</f>
        <v/>
      </c>
      <c r="Q112" s="22" t="str">
        <f aca="false">IF(P112="Y",IFERROR(INDEX(Questions!$D$5:$D$10,MATCH(G112,Questions!$A$5:$A$10,0)),1),"")</f>
        <v/>
      </c>
      <c r="R112" s="22" t="str">
        <f aca="false">IF(P112&lt;&gt;"Y","",IF(I112="N",0,INDEX(Settings!$B$15:$B$20,MATCH(MIN(J112,6),Settings!$A$15:$A$20,0))/Settings!$B$22*100))</f>
        <v/>
      </c>
      <c r="S112" s="22" t="str">
        <f aca="false">IF(P112="Y",R112*Q112,"")</f>
        <v/>
      </c>
    </row>
    <row r="113" customFormat="false" ht="15" hidden="false" customHeight="false" outlineLevel="0" collapsed="false">
      <c r="A113" s="9"/>
      <c r="B113" s="23"/>
      <c r="C113" s="9"/>
      <c r="D113" s="9"/>
      <c r="E113" s="9"/>
      <c r="F113" s="9"/>
      <c r="G113" s="9"/>
      <c r="H113" s="9"/>
      <c r="I113" s="9"/>
      <c r="J113" s="9"/>
      <c r="K113" s="9"/>
      <c r="L113" s="9"/>
      <c r="M113" s="9"/>
      <c r="N113" s="9"/>
      <c r="O113" s="9"/>
      <c r="P113" s="21" t="str">
        <f aca="false">IF(OR(A113="",LEFT(A113,2)="EX"),"",IF(AND(C113&lt;&gt;"",G113&lt;&gt;"",F113="Y",OR(I113="N",AND(I113="Y",ISNUMBER(J113)))),"Y","N"))</f>
        <v/>
      </c>
      <c r="Q113" s="22" t="str">
        <f aca="false">IF(P113="Y",IFERROR(INDEX(Questions!$D$5:$D$10,MATCH(G113,Questions!$A$5:$A$10,0)),1),"")</f>
        <v/>
      </c>
      <c r="R113" s="22" t="str">
        <f aca="false">IF(P113&lt;&gt;"Y","",IF(I113="N",0,INDEX(Settings!$B$15:$B$20,MATCH(MIN(J113,6),Settings!$A$15:$A$20,0))/Settings!$B$22*100))</f>
        <v/>
      </c>
      <c r="S113" s="22" t="str">
        <f aca="false">IF(P113="Y",R113*Q113,"")</f>
        <v/>
      </c>
    </row>
    <row r="114" customFormat="false" ht="15" hidden="false" customHeight="false" outlineLevel="0" collapsed="false">
      <c r="A114" s="9"/>
      <c r="B114" s="23"/>
      <c r="C114" s="9"/>
      <c r="D114" s="9"/>
      <c r="E114" s="9"/>
      <c r="F114" s="9"/>
      <c r="G114" s="9"/>
      <c r="H114" s="9"/>
      <c r="I114" s="9"/>
      <c r="J114" s="9"/>
      <c r="K114" s="9"/>
      <c r="L114" s="9"/>
      <c r="M114" s="9"/>
      <c r="N114" s="9"/>
      <c r="O114" s="9"/>
      <c r="P114" s="21" t="str">
        <f aca="false">IF(OR(A114="",LEFT(A114,2)="EX"),"",IF(AND(C114&lt;&gt;"",G114&lt;&gt;"",F114="Y",OR(I114="N",AND(I114="Y",ISNUMBER(J114)))),"Y","N"))</f>
        <v/>
      </c>
      <c r="Q114" s="22" t="str">
        <f aca="false">IF(P114="Y",IFERROR(INDEX(Questions!$D$5:$D$10,MATCH(G114,Questions!$A$5:$A$10,0)),1),"")</f>
        <v/>
      </c>
      <c r="R114" s="22" t="str">
        <f aca="false">IF(P114&lt;&gt;"Y","",IF(I114="N",0,INDEX(Settings!$B$15:$B$20,MATCH(MIN(J114,6),Settings!$A$15:$A$20,0))/Settings!$B$22*100))</f>
        <v/>
      </c>
      <c r="S114" s="22" t="str">
        <f aca="false">IF(P114="Y",R114*Q114,"")</f>
        <v/>
      </c>
    </row>
    <row r="115" customFormat="false" ht="15" hidden="false" customHeight="false" outlineLevel="0" collapsed="false">
      <c r="A115" s="9"/>
      <c r="B115" s="23"/>
      <c r="C115" s="9"/>
      <c r="D115" s="9"/>
      <c r="E115" s="9"/>
      <c r="F115" s="9"/>
      <c r="G115" s="9"/>
      <c r="H115" s="9"/>
      <c r="I115" s="9"/>
      <c r="J115" s="9"/>
      <c r="K115" s="9"/>
      <c r="L115" s="9"/>
      <c r="M115" s="9"/>
      <c r="N115" s="9"/>
      <c r="O115" s="9"/>
      <c r="P115" s="21" t="str">
        <f aca="false">IF(OR(A115="",LEFT(A115,2)="EX"),"",IF(AND(C115&lt;&gt;"",G115&lt;&gt;"",F115="Y",OR(I115="N",AND(I115="Y",ISNUMBER(J115)))),"Y","N"))</f>
        <v/>
      </c>
      <c r="Q115" s="22" t="str">
        <f aca="false">IF(P115="Y",IFERROR(INDEX(Questions!$D$5:$D$10,MATCH(G115,Questions!$A$5:$A$10,0)),1),"")</f>
        <v/>
      </c>
      <c r="R115" s="22" t="str">
        <f aca="false">IF(P115&lt;&gt;"Y","",IF(I115="N",0,INDEX(Settings!$B$15:$B$20,MATCH(MIN(J115,6),Settings!$A$15:$A$20,0))/Settings!$B$22*100))</f>
        <v/>
      </c>
      <c r="S115" s="22" t="str">
        <f aca="false">IF(P115="Y",R115*Q115,"")</f>
        <v/>
      </c>
    </row>
    <row r="116" customFormat="false" ht="15" hidden="false" customHeight="false" outlineLevel="0" collapsed="false">
      <c r="A116" s="9"/>
      <c r="B116" s="23"/>
      <c r="C116" s="9"/>
      <c r="D116" s="9"/>
      <c r="E116" s="9"/>
      <c r="F116" s="9"/>
      <c r="G116" s="9"/>
      <c r="H116" s="9"/>
      <c r="I116" s="9"/>
      <c r="J116" s="9"/>
      <c r="K116" s="9"/>
      <c r="L116" s="9"/>
      <c r="M116" s="9"/>
      <c r="N116" s="9"/>
      <c r="O116" s="9"/>
      <c r="P116" s="21" t="str">
        <f aca="false">IF(OR(A116="",LEFT(A116,2)="EX"),"",IF(AND(C116&lt;&gt;"",G116&lt;&gt;"",F116="Y",OR(I116="N",AND(I116="Y",ISNUMBER(J116)))),"Y","N"))</f>
        <v/>
      </c>
      <c r="Q116" s="22" t="str">
        <f aca="false">IF(P116="Y",IFERROR(INDEX(Questions!$D$5:$D$10,MATCH(G116,Questions!$A$5:$A$10,0)),1),"")</f>
        <v/>
      </c>
      <c r="R116" s="22" t="str">
        <f aca="false">IF(P116&lt;&gt;"Y","",IF(I116="N",0,INDEX(Settings!$B$15:$B$20,MATCH(MIN(J116,6),Settings!$A$15:$A$20,0))/Settings!$B$22*100))</f>
        <v/>
      </c>
      <c r="S116" s="22" t="str">
        <f aca="false">IF(P116="Y",R116*Q116,"")</f>
        <v/>
      </c>
    </row>
    <row r="117" customFormat="false" ht="15" hidden="false" customHeight="false" outlineLevel="0" collapsed="false">
      <c r="A117" s="9"/>
      <c r="B117" s="23"/>
      <c r="C117" s="9"/>
      <c r="D117" s="9"/>
      <c r="E117" s="9"/>
      <c r="F117" s="9"/>
      <c r="G117" s="9"/>
      <c r="H117" s="9"/>
      <c r="I117" s="9"/>
      <c r="J117" s="9"/>
      <c r="K117" s="9"/>
      <c r="L117" s="9"/>
      <c r="M117" s="9"/>
      <c r="N117" s="9"/>
      <c r="O117" s="9"/>
      <c r="P117" s="21" t="str">
        <f aca="false">IF(OR(A117="",LEFT(A117,2)="EX"),"",IF(AND(C117&lt;&gt;"",G117&lt;&gt;"",F117="Y",OR(I117="N",AND(I117="Y",ISNUMBER(J117)))),"Y","N"))</f>
        <v/>
      </c>
      <c r="Q117" s="22" t="str">
        <f aca="false">IF(P117="Y",IFERROR(INDEX(Questions!$D$5:$D$10,MATCH(G117,Questions!$A$5:$A$10,0)),1),"")</f>
        <v/>
      </c>
      <c r="R117" s="22" t="str">
        <f aca="false">IF(P117&lt;&gt;"Y","",IF(I117="N",0,INDEX(Settings!$B$15:$B$20,MATCH(MIN(J117,6),Settings!$A$15:$A$20,0))/Settings!$B$22*100))</f>
        <v/>
      </c>
      <c r="S117" s="22" t="str">
        <f aca="false">IF(P117="Y",R117*Q117,"")</f>
        <v/>
      </c>
    </row>
    <row r="118" customFormat="false" ht="15" hidden="false" customHeight="false" outlineLevel="0" collapsed="false">
      <c r="A118" s="9"/>
      <c r="B118" s="23"/>
      <c r="C118" s="9"/>
      <c r="D118" s="9"/>
      <c r="E118" s="9"/>
      <c r="F118" s="9"/>
      <c r="G118" s="9"/>
      <c r="H118" s="9"/>
      <c r="I118" s="9"/>
      <c r="J118" s="9"/>
      <c r="K118" s="9"/>
      <c r="L118" s="9"/>
      <c r="M118" s="9"/>
      <c r="N118" s="9"/>
      <c r="O118" s="9"/>
      <c r="P118" s="21" t="str">
        <f aca="false">IF(OR(A118="",LEFT(A118,2)="EX"),"",IF(AND(C118&lt;&gt;"",G118&lt;&gt;"",F118="Y",OR(I118="N",AND(I118="Y",ISNUMBER(J118)))),"Y","N"))</f>
        <v/>
      </c>
      <c r="Q118" s="22" t="str">
        <f aca="false">IF(P118="Y",IFERROR(INDEX(Questions!$D$5:$D$10,MATCH(G118,Questions!$A$5:$A$10,0)),1),"")</f>
        <v/>
      </c>
      <c r="R118" s="22" t="str">
        <f aca="false">IF(P118&lt;&gt;"Y","",IF(I118="N",0,INDEX(Settings!$B$15:$B$20,MATCH(MIN(J118,6),Settings!$A$15:$A$20,0))/Settings!$B$22*100))</f>
        <v/>
      </c>
      <c r="S118" s="22" t="str">
        <f aca="false">IF(P118="Y",R118*Q118,"")</f>
        <v/>
      </c>
    </row>
    <row r="119" customFormat="false" ht="15" hidden="false" customHeight="false" outlineLevel="0" collapsed="false">
      <c r="A119" s="9"/>
      <c r="B119" s="23"/>
      <c r="C119" s="9"/>
      <c r="D119" s="9"/>
      <c r="E119" s="9"/>
      <c r="F119" s="9"/>
      <c r="G119" s="9"/>
      <c r="H119" s="9"/>
      <c r="I119" s="9"/>
      <c r="J119" s="9"/>
      <c r="K119" s="9"/>
      <c r="L119" s="9"/>
      <c r="M119" s="9"/>
      <c r="N119" s="9"/>
      <c r="O119" s="9"/>
      <c r="P119" s="21" t="str">
        <f aca="false">IF(OR(A119="",LEFT(A119,2)="EX"),"",IF(AND(C119&lt;&gt;"",G119&lt;&gt;"",F119="Y",OR(I119="N",AND(I119="Y",ISNUMBER(J119)))),"Y","N"))</f>
        <v/>
      </c>
      <c r="Q119" s="22" t="str">
        <f aca="false">IF(P119="Y",IFERROR(INDEX(Questions!$D$5:$D$10,MATCH(G119,Questions!$A$5:$A$10,0)),1),"")</f>
        <v/>
      </c>
      <c r="R119" s="22" t="str">
        <f aca="false">IF(P119&lt;&gt;"Y","",IF(I119="N",0,INDEX(Settings!$B$15:$B$20,MATCH(MIN(J119,6),Settings!$A$15:$A$20,0))/Settings!$B$22*100))</f>
        <v/>
      </c>
      <c r="S119" s="22" t="str">
        <f aca="false">IF(P119="Y",R119*Q119,"")</f>
        <v/>
      </c>
    </row>
    <row r="120" customFormat="false" ht="15" hidden="false" customHeight="false" outlineLevel="0" collapsed="false">
      <c r="A120" s="9"/>
      <c r="B120" s="23"/>
      <c r="C120" s="9"/>
      <c r="D120" s="9"/>
      <c r="E120" s="9"/>
      <c r="F120" s="9"/>
      <c r="G120" s="9"/>
      <c r="H120" s="9"/>
      <c r="I120" s="9"/>
      <c r="J120" s="9"/>
      <c r="K120" s="9"/>
      <c r="L120" s="9"/>
      <c r="M120" s="9"/>
      <c r="N120" s="9"/>
      <c r="O120" s="9"/>
      <c r="P120" s="21" t="str">
        <f aca="false">IF(OR(A120="",LEFT(A120,2)="EX"),"",IF(AND(C120&lt;&gt;"",G120&lt;&gt;"",F120="Y",OR(I120="N",AND(I120="Y",ISNUMBER(J120)))),"Y","N"))</f>
        <v/>
      </c>
      <c r="Q120" s="22" t="str">
        <f aca="false">IF(P120="Y",IFERROR(INDEX(Questions!$D$5:$D$10,MATCH(G120,Questions!$A$5:$A$10,0)),1),"")</f>
        <v/>
      </c>
      <c r="R120" s="22" t="str">
        <f aca="false">IF(P120&lt;&gt;"Y","",IF(I120="N",0,INDEX(Settings!$B$15:$B$20,MATCH(MIN(J120,6),Settings!$A$15:$A$20,0))/Settings!$B$22*100))</f>
        <v/>
      </c>
      <c r="S120" s="22" t="str">
        <f aca="false">IF(P120="Y",R120*Q120,"")</f>
        <v/>
      </c>
    </row>
    <row r="121" customFormat="false" ht="15" hidden="false" customHeight="false" outlineLevel="0" collapsed="false">
      <c r="A121" s="9"/>
      <c r="B121" s="23"/>
      <c r="C121" s="9"/>
      <c r="D121" s="9"/>
      <c r="E121" s="9"/>
      <c r="F121" s="9"/>
      <c r="G121" s="9"/>
      <c r="H121" s="9"/>
      <c r="I121" s="9"/>
      <c r="J121" s="9"/>
      <c r="K121" s="9"/>
      <c r="L121" s="9"/>
      <c r="M121" s="9"/>
      <c r="N121" s="9"/>
      <c r="O121" s="9"/>
      <c r="P121" s="21" t="str">
        <f aca="false">IF(OR(A121="",LEFT(A121,2)="EX"),"",IF(AND(C121&lt;&gt;"",G121&lt;&gt;"",F121="Y",OR(I121="N",AND(I121="Y",ISNUMBER(J121)))),"Y","N"))</f>
        <v/>
      </c>
      <c r="Q121" s="22" t="str">
        <f aca="false">IF(P121="Y",IFERROR(INDEX(Questions!$D$5:$D$10,MATCH(G121,Questions!$A$5:$A$10,0)),1),"")</f>
        <v/>
      </c>
      <c r="R121" s="22" t="str">
        <f aca="false">IF(P121&lt;&gt;"Y","",IF(I121="N",0,INDEX(Settings!$B$15:$B$20,MATCH(MIN(J121,6),Settings!$A$15:$A$20,0))/Settings!$B$22*100))</f>
        <v/>
      </c>
      <c r="S121" s="22" t="str">
        <f aca="false">IF(P121="Y",R121*Q121,"")</f>
        <v/>
      </c>
    </row>
    <row r="122" customFormat="false" ht="15" hidden="false" customHeight="false" outlineLevel="0" collapsed="false">
      <c r="A122" s="9"/>
      <c r="B122" s="23"/>
      <c r="C122" s="9"/>
      <c r="D122" s="9"/>
      <c r="E122" s="9"/>
      <c r="F122" s="9"/>
      <c r="G122" s="9"/>
      <c r="H122" s="9"/>
      <c r="I122" s="9"/>
      <c r="J122" s="9"/>
      <c r="K122" s="9"/>
      <c r="L122" s="9"/>
      <c r="M122" s="9"/>
      <c r="N122" s="9"/>
      <c r="O122" s="9"/>
      <c r="P122" s="21" t="str">
        <f aca="false">IF(OR(A122="",LEFT(A122,2)="EX"),"",IF(AND(C122&lt;&gt;"",G122&lt;&gt;"",F122="Y",OR(I122="N",AND(I122="Y",ISNUMBER(J122)))),"Y","N"))</f>
        <v/>
      </c>
      <c r="Q122" s="22" t="str">
        <f aca="false">IF(P122="Y",IFERROR(INDEX(Questions!$D$5:$D$10,MATCH(G122,Questions!$A$5:$A$10,0)),1),"")</f>
        <v/>
      </c>
      <c r="R122" s="22" t="str">
        <f aca="false">IF(P122&lt;&gt;"Y","",IF(I122="N",0,INDEX(Settings!$B$15:$B$20,MATCH(MIN(J122,6),Settings!$A$15:$A$20,0))/Settings!$B$22*100))</f>
        <v/>
      </c>
      <c r="S122" s="22" t="str">
        <f aca="false">IF(P122="Y",R122*Q122,"")</f>
        <v/>
      </c>
    </row>
    <row r="123" customFormat="false" ht="15" hidden="false" customHeight="false" outlineLevel="0" collapsed="false">
      <c r="A123" s="9"/>
      <c r="B123" s="23"/>
      <c r="C123" s="9"/>
      <c r="D123" s="9"/>
      <c r="E123" s="9"/>
      <c r="F123" s="9"/>
      <c r="G123" s="9"/>
      <c r="H123" s="9"/>
      <c r="I123" s="9"/>
      <c r="J123" s="9"/>
      <c r="K123" s="9"/>
      <c r="L123" s="9"/>
      <c r="M123" s="9"/>
      <c r="N123" s="9"/>
      <c r="O123" s="9"/>
      <c r="P123" s="21" t="str">
        <f aca="false">IF(OR(A123="",LEFT(A123,2)="EX"),"",IF(AND(C123&lt;&gt;"",G123&lt;&gt;"",F123="Y",OR(I123="N",AND(I123="Y",ISNUMBER(J123)))),"Y","N"))</f>
        <v/>
      </c>
      <c r="Q123" s="22" t="str">
        <f aca="false">IF(P123="Y",IFERROR(INDEX(Questions!$D$5:$D$10,MATCH(G123,Questions!$A$5:$A$10,0)),1),"")</f>
        <v/>
      </c>
      <c r="R123" s="22" t="str">
        <f aca="false">IF(P123&lt;&gt;"Y","",IF(I123="N",0,INDEX(Settings!$B$15:$B$20,MATCH(MIN(J123,6),Settings!$A$15:$A$20,0))/Settings!$B$22*100))</f>
        <v/>
      </c>
      <c r="S123" s="22" t="str">
        <f aca="false">IF(P123="Y",R123*Q123,"")</f>
        <v/>
      </c>
    </row>
    <row r="124" customFormat="false" ht="15" hidden="false" customHeight="false" outlineLevel="0" collapsed="false">
      <c r="A124" s="9"/>
      <c r="B124" s="23"/>
      <c r="C124" s="9"/>
      <c r="D124" s="9"/>
      <c r="E124" s="9"/>
      <c r="F124" s="9"/>
      <c r="G124" s="9"/>
      <c r="H124" s="9"/>
      <c r="I124" s="9"/>
      <c r="J124" s="9"/>
      <c r="K124" s="9"/>
      <c r="L124" s="9"/>
      <c r="M124" s="9"/>
      <c r="N124" s="9"/>
      <c r="O124" s="9"/>
      <c r="P124" s="21" t="str">
        <f aca="false">IF(OR(A124="",LEFT(A124,2)="EX"),"",IF(AND(C124&lt;&gt;"",G124&lt;&gt;"",F124="Y",OR(I124="N",AND(I124="Y",ISNUMBER(J124)))),"Y","N"))</f>
        <v/>
      </c>
      <c r="Q124" s="22" t="str">
        <f aca="false">IF(P124="Y",IFERROR(INDEX(Questions!$D$5:$D$10,MATCH(G124,Questions!$A$5:$A$10,0)),1),"")</f>
        <v/>
      </c>
      <c r="R124" s="22" t="str">
        <f aca="false">IF(P124&lt;&gt;"Y","",IF(I124="N",0,INDEX(Settings!$B$15:$B$20,MATCH(MIN(J124,6),Settings!$A$15:$A$20,0))/Settings!$B$22*100))</f>
        <v/>
      </c>
      <c r="S124" s="22" t="str">
        <f aca="false">IF(P124="Y",R124*Q124,"")</f>
        <v/>
      </c>
    </row>
    <row r="125" customFormat="false" ht="15" hidden="false" customHeight="false" outlineLevel="0" collapsed="false">
      <c r="A125" s="9"/>
      <c r="B125" s="23"/>
      <c r="C125" s="9"/>
      <c r="D125" s="9"/>
      <c r="E125" s="9"/>
      <c r="F125" s="9"/>
      <c r="G125" s="9"/>
      <c r="H125" s="9"/>
      <c r="I125" s="9"/>
      <c r="J125" s="9"/>
      <c r="K125" s="9"/>
      <c r="L125" s="9"/>
      <c r="M125" s="9"/>
      <c r="N125" s="9"/>
      <c r="O125" s="9"/>
      <c r="P125" s="21" t="str">
        <f aca="false">IF(OR(A125="",LEFT(A125,2)="EX"),"",IF(AND(C125&lt;&gt;"",G125&lt;&gt;"",F125="Y",OR(I125="N",AND(I125="Y",ISNUMBER(J125)))),"Y","N"))</f>
        <v/>
      </c>
      <c r="Q125" s="22" t="str">
        <f aca="false">IF(P125="Y",IFERROR(INDEX(Questions!$D$5:$D$10,MATCH(G125,Questions!$A$5:$A$10,0)),1),"")</f>
        <v/>
      </c>
      <c r="R125" s="22" t="str">
        <f aca="false">IF(P125&lt;&gt;"Y","",IF(I125="N",0,INDEX(Settings!$B$15:$B$20,MATCH(MIN(J125,6),Settings!$A$15:$A$20,0))/Settings!$B$22*100))</f>
        <v/>
      </c>
      <c r="S125" s="22" t="str">
        <f aca="false">IF(P125="Y",R125*Q125,"")</f>
        <v/>
      </c>
    </row>
    <row r="126" customFormat="false" ht="15" hidden="false" customHeight="false" outlineLevel="0" collapsed="false">
      <c r="A126" s="9"/>
      <c r="B126" s="23"/>
      <c r="C126" s="9"/>
      <c r="D126" s="9"/>
      <c r="E126" s="9"/>
      <c r="F126" s="9"/>
      <c r="G126" s="9"/>
      <c r="H126" s="9"/>
      <c r="I126" s="9"/>
      <c r="J126" s="9"/>
      <c r="K126" s="9"/>
      <c r="L126" s="9"/>
      <c r="M126" s="9"/>
      <c r="N126" s="9"/>
      <c r="O126" s="9"/>
      <c r="P126" s="21" t="str">
        <f aca="false">IF(OR(A126="",LEFT(A126,2)="EX"),"",IF(AND(C126&lt;&gt;"",G126&lt;&gt;"",F126="Y",OR(I126="N",AND(I126="Y",ISNUMBER(J126)))),"Y","N"))</f>
        <v/>
      </c>
      <c r="Q126" s="22" t="str">
        <f aca="false">IF(P126="Y",IFERROR(INDEX(Questions!$D$5:$D$10,MATCH(G126,Questions!$A$5:$A$10,0)),1),"")</f>
        <v/>
      </c>
      <c r="R126" s="22" t="str">
        <f aca="false">IF(P126&lt;&gt;"Y","",IF(I126="N",0,INDEX(Settings!$B$15:$B$20,MATCH(MIN(J126,6),Settings!$A$15:$A$20,0))/Settings!$B$22*100))</f>
        <v/>
      </c>
      <c r="S126" s="22" t="str">
        <f aca="false">IF(P126="Y",R126*Q126,"")</f>
        <v/>
      </c>
    </row>
    <row r="127" customFormat="false" ht="15" hidden="false" customHeight="false" outlineLevel="0" collapsed="false">
      <c r="A127" s="9"/>
      <c r="B127" s="23"/>
      <c r="C127" s="9"/>
      <c r="D127" s="9"/>
      <c r="E127" s="9"/>
      <c r="F127" s="9"/>
      <c r="G127" s="9"/>
      <c r="H127" s="9"/>
      <c r="I127" s="9"/>
      <c r="J127" s="9"/>
      <c r="K127" s="9"/>
      <c r="L127" s="9"/>
      <c r="M127" s="9"/>
      <c r="N127" s="9"/>
      <c r="O127" s="9"/>
      <c r="P127" s="21" t="str">
        <f aca="false">IF(OR(A127="",LEFT(A127,2)="EX"),"",IF(AND(C127&lt;&gt;"",G127&lt;&gt;"",F127="Y",OR(I127="N",AND(I127="Y",ISNUMBER(J127)))),"Y","N"))</f>
        <v/>
      </c>
      <c r="Q127" s="22" t="str">
        <f aca="false">IF(P127="Y",IFERROR(INDEX(Questions!$D$5:$D$10,MATCH(G127,Questions!$A$5:$A$10,0)),1),"")</f>
        <v/>
      </c>
      <c r="R127" s="22" t="str">
        <f aca="false">IF(P127&lt;&gt;"Y","",IF(I127="N",0,INDEX(Settings!$B$15:$B$20,MATCH(MIN(J127,6),Settings!$A$15:$A$20,0))/Settings!$B$22*100))</f>
        <v/>
      </c>
      <c r="S127" s="22" t="str">
        <f aca="false">IF(P127="Y",R127*Q127,"")</f>
        <v/>
      </c>
    </row>
    <row r="128" customFormat="false" ht="15" hidden="false" customHeight="false" outlineLevel="0" collapsed="false">
      <c r="A128" s="9"/>
      <c r="B128" s="23"/>
      <c r="C128" s="9"/>
      <c r="D128" s="9"/>
      <c r="E128" s="9"/>
      <c r="F128" s="9"/>
      <c r="G128" s="9"/>
      <c r="H128" s="9"/>
      <c r="I128" s="9"/>
      <c r="J128" s="9"/>
      <c r="K128" s="9"/>
      <c r="L128" s="9"/>
      <c r="M128" s="9"/>
      <c r="N128" s="9"/>
      <c r="O128" s="9"/>
      <c r="P128" s="21" t="str">
        <f aca="false">IF(OR(A128="",LEFT(A128,2)="EX"),"",IF(AND(C128&lt;&gt;"",G128&lt;&gt;"",F128="Y",OR(I128="N",AND(I128="Y",ISNUMBER(J128)))),"Y","N"))</f>
        <v/>
      </c>
      <c r="Q128" s="22" t="str">
        <f aca="false">IF(P128="Y",IFERROR(INDEX(Questions!$D$5:$D$10,MATCH(G128,Questions!$A$5:$A$10,0)),1),"")</f>
        <v/>
      </c>
      <c r="R128" s="22" t="str">
        <f aca="false">IF(P128&lt;&gt;"Y","",IF(I128="N",0,INDEX(Settings!$B$15:$B$20,MATCH(MIN(J128,6),Settings!$A$15:$A$20,0))/Settings!$B$22*100))</f>
        <v/>
      </c>
      <c r="S128" s="22" t="str">
        <f aca="false">IF(P128="Y",R128*Q128,"")</f>
        <v/>
      </c>
    </row>
    <row r="129" customFormat="false" ht="15" hidden="false" customHeight="false" outlineLevel="0" collapsed="false">
      <c r="A129" s="9"/>
      <c r="B129" s="23"/>
      <c r="C129" s="9"/>
      <c r="D129" s="9"/>
      <c r="E129" s="9"/>
      <c r="F129" s="9"/>
      <c r="G129" s="9"/>
      <c r="H129" s="9"/>
      <c r="I129" s="9"/>
      <c r="J129" s="9"/>
      <c r="K129" s="9"/>
      <c r="L129" s="9"/>
      <c r="M129" s="9"/>
      <c r="N129" s="9"/>
      <c r="O129" s="9"/>
      <c r="P129" s="21" t="str">
        <f aca="false">IF(OR(A129="",LEFT(A129,2)="EX"),"",IF(AND(C129&lt;&gt;"",G129&lt;&gt;"",F129="Y",OR(I129="N",AND(I129="Y",ISNUMBER(J129)))),"Y","N"))</f>
        <v/>
      </c>
      <c r="Q129" s="22" t="str">
        <f aca="false">IF(P129="Y",IFERROR(INDEX(Questions!$D$5:$D$10,MATCH(G129,Questions!$A$5:$A$10,0)),1),"")</f>
        <v/>
      </c>
      <c r="R129" s="22" t="str">
        <f aca="false">IF(P129&lt;&gt;"Y","",IF(I129="N",0,INDEX(Settings!$B$15:$B$20,MATCH(MIN(J129,6),Settings!$A$15:$A$20,0))/Settings!$B$22*100))</f>
        <v/>
      </c>
      <c r="S129" s="22" t="str">
        <f aca="false">IF(P129="Y",R129*Q129,"")</f>
        <v/>
      </c>
    </row>
    <row r="130" customFormat="false" ht="15" hidden="false" customHeight="false" outlineLevel="0" collapsed="false">
      <c r="A130" s="9"/>
      <c r="B130" s="23"/>
      <c r="C130" s="9"/>
      <c r="D130" s="9"/>
      <c r="E130" s="9"/>
      <c r="F130" s="9"/>
      <c r="G130" s="9"/>
      <c r="H130" s="9"/>
      <c r="I130" s="9"/>
      <c r="J130" s="9"/>
      <c r="K130" s="9"/>
      <c r="L130" s="9"/>
      <c r="M130" s="9"/>
      <c r="N130" s="9"/>
      <c r="O130" s="9"/>
      <c r="P130" s="21" t="str">
        <f aca="false">IF(OR(A130="",LEFT(A130,2)="EX"),"",IF(AND(C130&lt;&gt;"",G130&lt;&gt;"",F130="Y",OR(I130="N",AND(I130="Y",ISNUMBER(J130)))),"Y","N"))</f>
        <v/>
      </c>
      <c r="Q130" s="22" t="str">
        <f aca="false">IF(P130="Y",IFERROR(INDEX(Questions!$D$5:$D$10,MATCH(G130,Questions!$A$5:$A$10,0)),1),"")</f>
        <v/>
      </c>
      <c r="R130" s="22" t="str">
        <f aca="false">IF(P130&lt;&gt;"Y","",IF(I130="N",0,INDEX(Settings!$B$15:$B$20,MATCH(MIN(J130,6),Settings!$A$15:$A$20,0))/Settings!$B$22*100))</f>
        <v/>
      </c>
      <c r="S130" s="22" t="str">
        <f aca="false">IF(P130="Y",R130*Q130,"")</f>
        <v/>
      </c>
    </row>
    <row r="131" customFormat="false" ht="15" hidden="false" customHeight="false" outlineLevel="0" collapsed="false">
      <c r="A131" s="9"/>
      <c r="B131" s="23"/>
      <c r="C131" s="9"/>
      <c r="D131" s="9"/>
      <c r="E131" s="9"/>
      <c r="F131" s="9"/>
      <c r="G131" s="9"/>
      <c r="H131" s="9"/>
      <c r="I131" s="9"/>
      <c r="J131" s="9"/>
      <c r="K131" s="9"/>
      <c r="L131" s="9"/>
      <c r="M131" s="9"/>
      <c r="N131" s="9"/>
      <c r="O131" s="9"/>
      <c r="P131" s="21" t="str">
        <f aca="false">IF(OR(A131="",LEFT(A131,2)="EX"),"",IF(AND(C131&lt;&gt;"",G131&lt;&gt;"",F131="Y",OR(I131="N",AND(I131="Y",ISNUMBER(J131)))),"Y","N"))</f>
        <v/>
      </c>
      <c r="Q131" s="22" t="str">
        <f aca="false">IF(P131="Y",IFERROR(INDEX(Questions!$D$5:$D$10,MATCH(G131,Questions!$A$5:$A$10,0)),1),"")</f>
        <v/>
      </c>
      <c r="R131" s="22" t="str">
        <f aca="false">IF(P131&lt;&gt;"Y","",IF(I131="N",0,INDEX(Settings!$B$15:$B$20,MATCH(MIN(J131,6),Settings!$A$15:$A$20,0))/Settings!$B$22*100))</f>
        <v/>
      </c>
      <c r="S131" s="22" t="str">
        <f aca="false">IF(P131="Y",R131*Q131,"")</f>
        <v/>
      </c>
    </row>
    <row r="132" customFormat="false" ht="15" hidden="false" customHeight="false" outlineLevel="0" collapsed="false">
      <c r="A132" s="9"/>
      <c r="B132" s="23"/>
      <c r="C132" s="9"/>
      <c r="D132" s="9"/>
      <c r="E132" s="9"/>
      <c r="F132" s="9"/>
      <c r="G132" s="9"/>
      <c r="H132" s="9"/>
      <c r="I132" s="9"/>
      <c r="J132" s="9"/>
      <c r="K132" s="9"/>
      <c r="L132" s="9"/>
      <c r="M132" s="9"/>
      <c r="N132" s="9"/>
      <c r="O132" s="9"/>
      <c r="P132" s="21" t="str">
        <f aca="false">IF(OR(A132="",LEFT(A132,2)="EX"),"",IF(AND(C132&lt;&gt;"",G132&lt;&gt;"",F132="Y",OR(I132="N",AND(I132="Y",ISNUMBER(J132)))),"Y","N"))</f>
        <v/>
      </c>
      <c r="Q132" s="22" t="str">
        <f aca="false">IF(P132="Y",IFERROR(INDEX(Questions!$D$5:$D$10,MATCH(G132,Questions!$A$5:$A$10,0)),1),"")</f>
        <v/>
      </c>
      <c r="R132" s="22" t="str">
        <f aca="false">IF(P132&lt;&gt;"Y","",IF(I132="N",0,INDEX(Settings!$B$15:$B$20,MATCH(MIN(J132,6),Settings!$A$15:$A$20,0))/Settings!$B$22*100))</f>
        <v/>
      </c>
      <c r="S132" s="22" t="str">
        <f aca="false">IF(P132="Y",R132*Q132,"")</f>
        <v/>
      </c>
    </row>
    <row r="133" customFormat="false" ht="15" hidden="false" customHeight="false" outlineLevel="0" collapsed="false">
      <c r="A133" s="9"/>
      <c r="B133" s="23"/>
      <c r="C133" s="9"/>
      <c r="D133" s="9"/>
      <c r="E133" s="9"/>
      <c r="F133" s="9"/>
      <c r="G133" s="9"/>
      <c r="H133" s="9"/>
      <c r="I133" s="9"/>
      <c r="J133" s="9"/>
      <c r="K133" s="9"/>
      <c r="L133" s="9"/>
      <c r="M133" s="9"/>
      <c r="N133" s="9"/>
      <c r="O133" s="9"/>
      <c r="P133" s="21" t="str">
        <f aca="false">IF(OR(A133="",LEFT(A133,2)="EX"),"",IF(AND(C133&lt;&gt;"",G133&lt;&gt;"",F133="Y",OR(I133="N",AND(I133="Y",ISNUMBER(J133)))),"Y","N"))</f>
        <v/>
      </c>
      <c r="Q133" s="22" t="str">
        <f aca="false">IF(P133="Y",IFERROR(INDEX(Questions!$D$5:$D$10,MATCH(G133,Questions!$A$5:$A$10,0)),1),"")</f>
        <v/>
      </c>
      <c r="R133" s="22" t="str">
        <f aca="false">IF(P133&lt;&gt;"Y","",IF(I133="N",0,INDEX(Settings!$B$15:$B$20,MATCH(MIN(J133,6),Settings!$A$15:$A$20,0))/Settings!$B$22*100))</f>
        <v/>
      </c>
      <c r="S133" s="22" t="str">
        <f aca="false">IF(P133="Y",R133*Q133,"")</f>
        <v/>
      </c>
    </row>
    <row r="134" customFormat="false" ht="15" hidden="false" customHeight="false" outlineLevel="0" collapsed="false">
      <c r="A134" s="9"/>
      <c r="B134" s="23"/>
      <c r="C134" s="9"/>
      <c r="D134" s="9"/>
      <c r="E134" s="9"/>
      <c r="F134" s="9"/>
      <c r="G134" s="9"/>
      <c r="H134" s="9"/>
      <c r="I134" s="9"/>
      <c r="J134" s="9"/>
      <c r="K134" s="9"/>
      <c r="L134" s="9"/>
      <c r="M134" s="9"/>
      <c r="N134" s="9"/>
      <c r="O134" s="9"/>
      <c r="P134" s="21" t="str">
        <f aca="false">IF(OR(A134="",LEFT(A134,2)="EX"),"",IF(AND(C134&lt;&gt;"",G134&lt;&gt;"",F134="Y",OR(I134="N",AND(I134="Y",ISNUMBER(J134)))),"Y","N"))</f>
        <v/>
      </c>
      <c r="Q134" s="22" t="str">
        <f aca="false">IF(P134="Y",IFERROR(INDEX(Questions!$D$5:$D$10,MATCH(G134,Questions!$A$5:$A$10,0)),1),"")</f>
        <v/>
      </c>
      <c r="R134" s="22" t="str">
        <f aca="false">IF(P134&lt;&gt;"Y","",IF(I134="N",0,INDEX(Settings!$B$15:$B$20,MATCH(MIN(J134,6),Settings!$A$15:$A$20,0))/Settings!$B$22*100))</f>
        <v/>
      </c>
      <c r="S134" s="22" t="str">
        <f aca="false">IF(P134="Y",R134*Q134,"")</f>
        <v/>
      </c>
    </row>
    <row r="135" customFormat="false" ht="15" hidden="false" customHeight="false" outlineLevel="0" collapsed="false">
      <c r="A135" s="9"/>
      <c r="B135" s="23"/>
      <c r="C135" s="9"/>
      <c r="D135" s="9"/>
      <c r="E135" s="9"/>
      <c r="F135" s="9"/>
      <c r="G135" s="9"/>
      <c r="H135" s="9"/>
      <c r="I135" s="9"/>
      <c r="J135" s="9"/>
      <c r="K135" s="9"/>
      <c r="L135" s="9"/>
      <c r="M135" s="9"/>
      <c r="N135" s="9"/>
      <c r="O135" s="9"/>
      <c r="P135" s="21" t="str">
        <f aca="false">IF(OR(A135="",LEFT(A135,2)="EX"),"",IF(AND(C135&lt;&gt;"",G135&lt;&gt;"",F135="Y",OR(I135="N",AND(I135="Y",ISNUMBER(J135)))),"Y","N"))</f>
        <v/>
      </c>
      <c r="Q135" s="22" t="str">
        <f aca="false">IF(P135="Y",IFERROR(INDEX(Questions!$D$5:$D$10,MATCH(G135,Questions!$A$5:$A$10,0)),1),"")</f>
        <v/>
      </c>
      <c r="R135" s="22" t="str">
        <f aca="false">IF(P135&lt;&gt;"Y","",IF(I135="N",0,INDEX(Settings!$B$15:$B$20,MATCH(MIN(J135,6),Settings!$A$15:$A$20,0))/Settings!$B$22*100))</f>
        <v/>
      </c>
      <c r="S135" s="22" t="str">
        <f aca="false">IF(P135="Y",R135*Q135,"")</f>
        <v/>
      </c>
    </row>
    <row r="136" customFormat="false" ht="15" hidden="false" customHeight="false" outlineLevel="0" collapsed="false">
      <c r="A136" s="9"/>
      <c r="B136" s="23"/>
      <c r="C136" s="9"/>
      <c r="D136" s="9"/>
      <c r="E136" s="9"/>
      <c r="F136" s="9"/>
      <c r="G136" s="9"/>
      <c r="H136" s="9"/>
      <c r="I136" s="9"/>
      <c r="J136" s="9"/>
      <c r="K136" s="9"/>
      <c r="L136" s="9"/>
      <c r="M136" s="9"/>
      <c r="N136" s="9"/>
      <c r="O136" s="9"/>
      <c r="P136" s="21" t="str">
        <f aca="false">IF(OR(A136="",LEFT(A136,2)="EX"),"",IF(AND(C136&lt;&gt;"",G136&lt;&gt;"",F136="Y",OR(I136="N",AND(I136="Y",ISNUMBER(J136)))),"Y","N"))</f>
        <v/>
      </c>
      <c r="Q136" s="22" t="str">
        <f aca="false">IF(P136="Y",IFERROR(INDEX(Questions!$D$5:$D$10,MATCH(G136,Questions!$A$5:$A$10,0)),1),"")</f>
        <v/>
      </c>
      <c r="R136" s="22" t="str">
        <f aca="false">IF(P136&lt;&gt;"Y","",IF(I136="N",0,INDEX(Settings!$B$15:$B$20,MATCH(MIN(J136,6),Settings!$A$15:$A$20,0))/Settings!$B$22*100))</f>
        <v/>
      </c>
      <c r="S136" s="22" t="str">
        <f aca="false">IF(P136="Y",R136*Q136,"")</f>
        <v/>
      </c>
    </row>
    <row r="137" customFormat="false" ht="15" hidden="false" customHeight="false" outlineLevel="0" collapsed="false">
      <c r="A137" s="9"/>
      <c r="B137" s="23"/>
      <c r="C137" s="9"/>
      <c r="D137" s="9"/>
      <c r="E137" s="9"/>
      <c r="F137" s="9"/>
      <c r="G137" s="9"/>
      <c r="H137" s="9"/>
      <c r="I137" s="9"/>
      <c r="J137" s="9"/>
      <c r="K137" s="9"/>
      <c r="L137" s="9"/>
      <c r="M137" s="9"/>
      <c r="N137" s="9"/>
      <c r="O137" s="9"/>
      <c r="P137" s="21" t="str">
        <f aca="false">IF(OR(A137="",LEFT(A137,2)="EX"),"",IF(AND(C137&lt;&gt;"",G137&lt;&gt;"",F137="Y",OR(I137="N",AND(I137="Y",ISNUMBER(J137)))),"Y","N"))</f>
        <v/>
      </c>
      <c r="Q137" s="22" t="str">
        <f aca="false">IF(P137="Y",IFERROR(INDEX(Questions!$D$5:$D$10,MATCH(G137,Questions!$A$5:$A$10,0)),1),"")</f>
        <v/>
      </c>
      <c r="R137" s="22" t="str">
        <f aca="false">IF(P137&lt;&gt;"Y","",IF(I137="N",0,INDEX(Settings!$B$15:$B$20,MATCH(MIN(J137,6),Settings!$A$15:$A$20,0))/Settings!$B$22*100))</f>
        <v/>
      </c>
      <c r="S137" s="22" t="str">
        <f aca="false">IF(P137="Y",R137*Q137,"")</f>
        <v/>
      </c>
    </row>
    <row r="138" customFormat="false" ht="15" hidden="false" customHeight="false" outlineLevel="0" collapsed="false">
      <c r="A138" s="9"/>
      <c r="B138" s="23"/>
      <c r="C138" s="9"/>
      <c r="D138" s="9"/>
      <c r="E138" s="9"/>
      <c r="F138" s="9"/>
      <c r="G138" s="9"/>
      <c r="H138" s="9"/>
      <c r="I138" s="9"/>
      <c r="J138" s="9"/>
      <c r="K138" s="9"/>
      <c r="L138" s="9"/>
      <c r="M138" s="9"/>
      <c r="N138" s="9"/>
      <c r="O138" s="9"/>
      <c r="P138" s="21" t="str">
        <f aca="false">IF(OR(A138="",LEFT(A138,2)="EX"),"",IF(AND(C138&lt;&gt;"",G138&lt;&gt;"",F138="Y",OR(I138="N",AND(I138="Y",ISNUMBER(J138)))),"Y","N"))</f>
        <v/>
      </c>
      <c r="Q138" s="22" t="str">
        <f aca="false">IF(P138="Y",IFERROR(INDEX(Questions!$D$5:$D$10,MATCH(G138,Questions!$A$5:$A$10,0)),1),"")</f>
        <v/>
      </c>
      <c r="R138" s="22" t="str">
        <f aca="false">IF(P138&lt;&gt;"Y","",IF(I138="N",0,INDEX(Settings!$B$15:$B$20,MATCH(MIN(J138,6),Settings!$A$15:$A$20,0))/Settings!$B$22*100))</f>
        <v/>
      </c>
      <c r="S138" s="22" t="str">
        <f aca="false">IF(P138="Y",R138*Q138,"")</f>
        <v/>
      </c>
    </row>
    <row r="139" customFormat="false" ht="15" hidden="false" customHeight="false" outlineLevel="0" collapsed="false">
      <c r="A139" s="9"/>
      <c r="B139" s="23"/>
      <c r="C139" s="9"/>
      <c r="D139" s="9"/>
      <c r="E139" s="9"/>
      <c r="F139" s="9"/>
      <c r="G139" s="9"/>
      <c r="H139" s="9"/>
      <c r="I139" s="9"/>
      <c r="J139" s="9"/>
      <c r="K139" s="9"/>
      <c r="L139" s="9"/>
      <c r="M139" s="9"/>
      <c r="N139" s="9"/>
      <c r="O139" s="9"/>
      <c r="P139" s="21" t="str">
        <f aca="false">IF(OR(A139="",LEFT(A139,2)="EX"),"",IF(AND(C139&lt;&gt;"",G139&lt;&gt;"",F139="Y",OR(I139="N",AND(I139="Y",ISNUMBER(J139)))),"Y","N"))</f>
        <v/>
      </c>
      <c r="Q139" s="22" t="str">
        <f aca="false">IF(P139="Y",IFERROR(INDEX(Questions!$D$5:$D$10,MATCH(G139,Questions!$A$5:$A$10,0)),1),"")</f>
        <v/>
      </c>
      <c r="R139" s="22" t="str">
        <f aca="false">IF(P139&lt;&gt;"Y","",IF(I139="N",0,INDEX(Settings!$B$15:$B$20,MATCH(MIN(J139,6),Settings!$A$15:$A$20,0))/Settings!$B$22*100))</f>
        <v/>
      </c>
      <c r="S139" s="22" t="str">
        <f aca="false">IF(P139="Y",R139*Q139,"")</f>
        <v/>
      </c>
    </row>
    <row r="140" customFormat="false" ht="15" hidden="false" customHeight="false" outlineLevel="0" collapsed="false">
      <c r="A140" s="9"/>
      <c r="B140" s="23"/>
      <c r="C140" s="9"/>
      <c r="D140" s="9"/>
      <c r="E140" s="9"/>
      <c r="F140" s="9"/>
      <c r="G140" s="9"/>
      <c r="H140" s="9"/>
      <c r="I140" s="9"/>
      <c r="J140" s="9"/>
      <c r="K140" s="9"/>
      <c r="L140" s="9"/>
      <c r="M140" s="9"/>
      <c r="N140" s="9"/>
      <c r="O140" s="9"/>
      <c r="P140" s="21" t="str">
        <f aca="false">IF(OR(A140="",LEFT(A140,2)="EX"),"",IF(AND(C140&lt;&gt;"",G140&lt;&gt;"",F140="Y",OR(I140="N",AND(I140="Y",ISNUMBER(J140)))),"Y","N"))</f>
        <v/>
      </c>
      <c r="Q140" s="22" t="str">
        <f aca="false">IF(P140="Y",IFERROR(INDEX(Questions!$D$5:$D$10,MATCH(G140,Questions!$A$5:$A$10,0)),1),"")</f>
        <v/>
      </c>
      <c r="R140" s="22" t="str">
        <f aca="false">IF(P140&lt;&gt;"Y","",IF(I140="N",0,INDEX(Settings!$B$15:$B$20,MATCH(MIN(J140,6),Settings!$A$15:$A$20,0))/Settings!$B$22*100))</f>
        <v/>
      </c>
      <c r="S140" s="22" t="str">
        <f aca="false">IF(P140="Y",R140*Q140,"")</f>
        <v/>
      </c>
    </row>
    <row r="141" customFormat="false" ht="15" hidden="false" customHeight="false" outlineLevel="0" collapsed="false">
      <c r="A141" s="9"/>
      <c r="B141" s="23"/>
      <c r="C141" s="9"/>
      <c r="D141" s="9"/>
      <c r="E141" s="9"/>
      <c r="F141" s="9"/>
      <c r="G141" s="9"/>
      <c r="H141" s="9"/>
      <c r="I141" s="9"/>
      <c r="J141" s="9"/>
      <c r="K141" s="9"/>
      <c r="L141" s="9"/>
      <c r="M141" s="9"/>
      <c r="N141" s="9"/>
      <c r="O141" s="9"/>
      <c r="P141" s="21" t="str">
        <f aca="false">IF(OR(A141="",LEFT(A141,2)="EX"),"",IF(AND(C141&lt;&gt;"",G141&lt;&gt;"",F141="Y",OR(I141="N",AND(I141="Y",ISNUMBER(J141)))),"Y","N"))</f>
        <v/>
      </c>
      <c r="Q141" s="22" t="str">
        <f aca="false">IF(P141="Y",IFERROR(INDEX(Questions!$D$5:$D$10,MATCH(G141,Questions!$A$5:$A$10,0)),1),"")</f>
        <v/>
      </c>
      <c r="R141" s="22" t="str">
        <f aca="false">IF(P141&lt;&gt;"Y","",IF(I141="N",0,INDEX(Settings!$B$15:$B$20,MATCH(MIN(J141,6),Settings!$A$15:$A$20,0))/Settings!$B$22*100))</f>
        <v/>
      </c>
      <c r="S141" s="22" t="str">
        <f aca="false">IF(P141="Y",R141*Q141,"")</f>
        <v/>
      </c>
    </row>
    <row r="142" customFormat="false" ht="15" hidden="false" customHeight="false" outlineLevel="0" collapsed="false">
      <c r="A142" s="9"/>
      <c r="B142" s="23"/>
      <c r="C142" s="9"/>
      <c r="D142" s="9"/>
      <c r="E142" s="9"/>
      <c r="F142" s="9"/>
      <c r="G142" s="9"/>
      <c r="H142" s="9"/>
      <c r="I142" s="9"/>
      <c r="J142" s="9"/>
      <c r="K142" s="9"/>
      <c r="L142" s="9"/>
      <c r="M142" s="9"/>
      <c r="N142" s="9"/>
      <c r="O142" s="9"/>
      <c r="P142" s="21" t="str">
        <f aca="false">IF(OR(A142="",LEFT(A142,2)="EX"),"",IF(AND(C142&lt;&gt;"",G142&lt;&gt;"",F142="Y",OR(I142="N",AND(I142="Y",ISNUMBER(J142)))),"Y","N"))</f>
        <v/>
      </c>
      <c r="Q142" s="22" t="str">
        <f aca="false">IF(P142="Y",IFERROR(INDEX(Questions!$D$5:$D$10,MATCH(G142,Questions!$A$5:$A$10,0)),1),"")</f>
        <v/>
      </c>
      <c r="R142" s="22" t="str">
        <f aca="false">IF(P142&lt;&gt;"Y","",IF(I142="N",0,INDEX(Settings!$B$15:$B$20,MATCH(MIN(J142,6),Settings!$A$15:$A$20,0))/Settings!$B$22*100))</f>
        <v/>
      </c>
      <c r="S142" s="22" t="str">
        <f aca="false">IF(P142="Y",R142*Q142,"")</f>
        <v/>
      </c>
    </row>
    <row r="143" customFormat="false" ht="15" hidden="false" customHeight="false" outlineLevel="0" collapsed="false">
      <c r="A143" s="9"/>
      <c r="B143" s="23"/>
      <c r="C143" s="9"/>
      <c r="D143" s="9"/>
      <c r="E143" s="9"/>
      <c r="F143" s="9"/>
      <c r="G143" s="9"/>
      <c r="H143" s="9"/>
      <c r="I143" s="9"/>
      <c r="J143" s="9"/>
      <c r="K143" s="9"/>
      <c r="L143" s="9"/>
      <c r="M143" s="9"/>
      <c r="N143" s="9"/>
      <c r="O143" s="9"/>
      <c r="P143" s="21" t="str">
        <f aca="false">IF(OR(A143="",LEFT(A143,2)="EX"),"",IF(AND(C143&lt;&gt;"",G143&lt;&gt;"",F143="Y",OR(I143="N",AND(I143="Y",ISNUMBER(J143)))),"Y","N"))</f>
        <v/>
      </c>
      <c r="Q143" s="22" t="str">
        <f aca="false">IF(P143="Y",IFERROR(INDEX(Questions!$D$5:$D$10,MATCH(G143,Questions!$A$5:$A$10,0)),1),"")</f>
        <v/>
      </c>
      <c r="R143" s="22" t="str">
        <f aca="false">IF(P143&lt;&gt;"Y","",IF(I143="N",0,INDEX(Settings!$B$15:$B$20,MATCH(MIN(J143,6),Settings!$A$15:$A$20,0))/Settings!$B$22*100))</f>
        <v/>
      </c>
      <c r="S143" s="22" t="str">
        <f aca="false">IF(P143="Y",R143*Q143,"")</f>
        <v/>
      </c>
    </row>
    <row r="144" customFormat="false" ht="15" hidden="false" customHeight="false" outlineLevel="0" collapsed="false">
      <c r="A144" s="9"/>
      <c r="B144" s="23"/>
      <c r="C144" s="9"/>
      <c r="D144" s="9"/>
      <c r="E144" s="9"/>
      <c r="F144" s="9"/>
      <c r="G144" s="9"/>
      <c r="H144" s="9"/>
      <c r="I144" s="9"/>
      <c r="J144" s="9"/>
      <c r="K144" s="9"/>
      <c r="L144" s="9"/>
      <c r="M144" s="9"/>
      <c r="N144" s="9"/>
      <c r="O144" s="9"/>
      <c r="P144" s="21" t="str">
        <f aca="false">IF(OR(A144="",LEFT(A144,2)="EX"),"",IF(AND(C144&lt;&gt;"",G144&lt;&gt;"",F144="Y",OR(I144="N",AND(I144="Y",ISNUMBER(J144)))),"Y","N"))</f>
        <v/>
      </c>
      <c r="Q144" s="22" t="str">
        <f aca="false">IF(P144="Y",IFERROR(INDEX(Questions!$D$5:$D$10,MATCH(G144,Questions!$A$5:$A$10,0)),1),"")</f>
        <v/>
      </c>
      <c r="R144" s="22" t="str">
        <f aca="false">IF(P144&lt;&gt;"Y","",IF(I144="N",0,INDEX(Settings!$B$15:$B$20,MATCH(MIN(J144,6),Settings!$A$15:$A$20,0))/Settings!$B$22*100))</f>
        <v/>
      </c>
      <c r="S144" s="22" t="str">
        <f aca="false">IF(P144="Y",R144*Q144,"")</f>
        <v/>
      </c>
    </row>
    <row r="145" customFormat="false" ht="15" hidden="false" customHeight="false" outlineLevel="0" collapsed="false">
      <c r="A145" s="9"/>
      <c r="B145" s="23"/>
      <c r="C145" s="9"/>
      <c r="D145" s="9"/>
      <c r="E145" s="9"/>
      <c r="F145" s="9"/>
      <c r="G145" s="9"/>
      <c r="H145" s="9"/>
      <c r="I145" s="9"/>
      <c r="J145" s="9"/>
      <c r="K145" s="9"/>
      <c r="L145" s="9"/>
      <c r="M145" s="9"/>
      <c r="N145" s="9"/>
      <c r="O145" s="9"/>
      <c r="P145" s="21" t="str">
        <f aca="false">IF(OR(A145="",LEFT(A145,2)="EX"),"",IF(AND(C145&lt;&gt;"",G145&lt;&gt;"",F145="Y",OR(I145="N",AND(I145="Y",ISNUMBER(J145)))),"Y","N"))</f>
        <v/>
      </c>
      <c r="Q145" s="22" t="str">
        <f aca="false">IF(P145="Y",IFERROR(INDEX(Questions!$D$5:$D$10,MATCH(G145,Questions!$A$5:$A$10,0)),1),"")</f>
        <v/>
      </c>
      <c r="R145" s="22" t="str">
        <f aca="false">IF(P145&lt;&gt;"Y","",IF(I145="N",0,INDEX(Settings!$B$15:$B$20,MATCH(MIN(J145,6),Settings!$A$15:$A$20,0))/Settings!$B$22*100))</f>
        <v/>
      </c>
      <c r="S145" s="22" t="str">
        <f aca="false">IF(P145="Y",R145*Q145,"")</f>
        <v/>
      </c>
    </row>
    <row r="146" customFormat="false" ht="15" hidden="false" customHeight="false" outlineLevel="0" collapsed="false">
      <c r="A146" s="9"/>
      <c r="B146" s="23"/>
      <c r="C146" s="9"/>
      <c r="D146" s="9"/>
      <c r="E146" s="9"/>
      <c r="F146" s="9"/>
      <c r="G146" s="9"/>
      <c r="H146" s="9"/>
      <c r="I146" s="9"/>
      <c r="J146" s="9"/>
      <c r="K146" s="9"/>
      <c r="L146" s="9"/>
      <c r="M146" s="9"/>
      <c r="N146" s="9"/>
      <c r="O146" s="9"/>
      <c r="P146" s="21" t="str">
        <f aca="false">IF(OR(A146="",LEFT(A146,2)="EX"),"",IF(AND(C146&lt;&gt;"",G146&lt;&gt;"",F146="Y",OR(I146="N",AND(I146="Y",ISNUMBER(J146)))),"Y","N"))</f>
        <v/>
      </c>
      <c r="Q146" s="22" t="str">
        <f aca="false">IF(P146="Y",IFERROR(INDEX(Questions!$D$5:$D$10,MATCH(G146,Questions!$A$5:$A$10,0)),1),"")</f>
        <v/>
      </c>
      <c r="R146" s="22" t="str">
        <f aca="false">IF(P146&lt;&gt;"Y","",IF(I146="N",0,INDEX(Settings!$B$15:$B$20,MATCH(MIN(J146,6),Settings!$A$15:$A$20,0))/Settings!$B$22*100))</f>
        <v/>
      </c>
      <c r="S146" s="22" t="str">
        <f aca="false">IF(P146="Y",R146*Q146,"")</f>
        <v/>
      </c>
    </row>
    <row r="147" customFormat="false" ht="15" hidden="false" customHeight="false" outlineLevel="0" collapsed="false">
      <c r="A147" s="9"/>
      <c r="B147" s="23"/>
      <c r="C147" s="9"/>
      <c r="D147" s="9"/>
      <c r="E147" s="9"/>
      <c r="F147" s="9"/>
      <c r="G147" s="9"/>
      <c r="H147" s="9"/>
      <c r="I147" s="9"/>
      <c r="J147" s="9"/>
      <c r="K147" s="9"/>
      <c r="L147" s="9"/>
      <c r="M147" s="9"/>
      <c r="N147" s="9"/>
      <c r="O147" s="9"/>
      <c r="P147" s="21" t="str">
        <f aca="false">IF(OR(A147="",LEFT(A147,2)="EX"),"",IF(AND(C147&lt;&gt;"",G147&lt;&gt;"",F147="Y",OR(I147="N",AND(I147="Y",ISNUMBER(J147)))),"Y","N"))</f>
        <v/>
      </c>
      <c r="Q147" s="22" t="str">
        <f aca="false">IF(P147="Y",IFERROR(INDEX(Questions!$D$5:$D$10,MATCH(G147,Questions!$A$5:$A$10,0)),1),"")</f>
        <v/>
      </c>
      <c r="R147" s="22" t="str">
        <f aca="false">IF(P147&lt;&gt;"Y","",IF(I147="N",0,INDEX(Settings!$B$15:$B$20,MATCH(MIN(J147,6),Settings!$A$15:$A$20,0))/Settings!$B$22*100))</f>
        <v/>
      </c>
      <c r="S147" s="22" t="str">
        <f aca="false">IF(P147="Y",R147*Q147,"")</f>
        <v/>
      </c>
    </row>
    <row r="148" customFormat="false" ht="15" hidden="false" customHeight="false" outlineLevel="0" collapsed="false">
      <c r="A148" s="9"/>
      <c r="B148" s="23"/>
      <c r="C148" s="9"/>
      <c r="D148" s="9"/>
      <c r="E148" s="9"/>
      <c r="F148" s="9"/>
      <c r="G148" s="9"/>
      <c r="H148" s="9"/>
      <c r="I148" s="9"/>
      <c r="J148" s="9"/>
      <c r="K148" s="9"/>
      <c r="L148" s="9"/>
      <c r="M148" s="9"/>
      <c r="N148" s="9"/>
      <c r="O148" s="9"/>
      <c r="P148" s="21" t="str">
        <f aca="false">IF(OR(A148="",LEFT(A148,2)="EX"),"",IF(AND(C148&lt;&gt;"",G148&lt;&gt;"",F148="Y",OR(I148="N",AND(I148="Y",ISNUMBER(J148)))),"Y","N"))</f>
        <v/>
      </c>
      <c r="Q148" s="22" t="str">
        <f aca="false">IF(P148="Y",IFERROR(INDEX(Questions!$D$5:$D$10,MATCH(G148,Questions!$A$5:$A$10,0)),1),"")</f>
        <v/>
      </c>
      <c r="R148" s="22" t="str">
        <f aca="false">IF(P148&lt;&gt;"Y","",IF(I148="N",0,INDEX(Settings!$B$15:$B$20,MATCH(MIN(J148,6),Settings!$A$15:$A$20,0))/Settings!$B$22*100))</f>
        <v/>
      </c>
      <c r="S148" s="22" t="str">
        <f aca="false">IF(P148="Y",R148*Q148,"")</f>
        <v/>
      </c>
    </row>
    <row r="149" customFormat="false" ht="15" hidden="false" customHeight="false" outlineLevel="0" collapsed="false">
      <c r="A149" s="9"/>
      <c r="B149" s="23"/>
      <c r="C149" s="9"/>
      <c r="D149" s="9"/>
      <c r="E149" s="9"/>
      <c r="F149" s="9"/>
      <c r="G149" s="9"/>
      <c r="H149" s="9"/>
      <c r="I149" s="9"/>
      <c r="J149" s="9"/>
      <c r="K149" s="9"/>
      <c r="L149" s="9"/>
      <c r="M149" s="9"/>
      <c r="N149" s="9"/>
      <c r="O149" s="9"/>
      <c r="P149" s="21" t="str">
        <f aca="false">IF(OR(A149="",LEFT(A149,2)="EX"),"",IF(AND(C149&lt;&gt;"",G149&lt;&gt;"",F149="Y",OR(I149="N",AND(I149="Y",ISNUMBER(J149)))),"Y","N"))</f>
        <v/>
      </c>
      <c r="Q149" s="22" t="str">
        <f aca="false">IF(P149="Y",IFERROR(INDEX(Questions!$D$5:$D$10,MATCH(G149,Questions!$A$5:$A$10,0)),1),"")</f>
        <v/>
      </c>
      <c r="R149" s="22" t="str">
        <f aca="false">IF(P149&lt;&gt;"Y","",IF(I149="N",0,INDEX(Settings!$B$15:$B$20,MATCH(MIN(J149,6),Settings!$A$15:$A$20,0))/Settings!$B$22*100))</f>
        <v/>
      </c>
      <c r="S149" s="22" t="str">
        <f aca="false">IF(P149="Y",R149*Q149,"")</f>
        <v/>
      </c>
    </row>
    <row r="150" customFormat="false" ht="15" hidden="false" customHeight="false" outlineLevel="0" collapsed="false">
      <c r="A150" s="9"/>
      <c r="B150" s="23"/>
      <c r="C150" s="9"/>
      <c r="D150" s="9"/>
      <c r="E150" s="9"/>
      <c r="F150" s="9"/>
      <c r="G150" s="9"/>
      <c r="H150" s="9"/>
      <c r="I150" s="9"/>
      <c r="J150" s="9"/>
      <c r="K150" s="9"/>
      <c r="L150" s="9"/>
      <c r="M150" s="9"/>
      <c r="N150" s="9"/>
      <c r="O150" s="9"/>
      <c r="P150" s="21" t="str">
        <f aca="false">IF(OR(A150="",LEFT(A150,2)="EX"),"",IF(AND(C150&lt;&gt;"",G150&lt;&gt;"",F150="Y",OR(I150="N",AND(I150="Y",ISNUMBER(J150)))),"Y","N"))</f>
        <v/>
      </c>
      <c r="Q150" s="22" t="str">
        <f aca="false">IF(P150="Y",IFERROR(INDEX(Questions!$D$5:$D$10,MATCH(G150,Questions!$A$5:$A$10,0)),1),"")</f>
        <v/>
      </c>
      <c r="R150" s="22" t="str">
        <f aca="false">IF(P150&lt;&gt;"Y","",IF(I150="N",0,INDEX(Settings!$B$15:$B$20,MATCH(MIN(J150,6),Settings!$A$15:$A$20,0))/Settings!$B$22*100))</f>
        <v/>
      </c>
      <c r="S150" s="22" t="str">
        <f aca="false">IF(P150="Y",R150*Q150,"")</f>
        <v/>
      </c>
    </row>
    <row r="151" customFormat="false" ht="15" hidden="false" customHeight="false" outlineLevel="0" collapsed="false">
      <c r="A151" s="9"/>
      <c r="B151" s="23"/>
      <c r="C151" s="9"/>
      <c r="D151" s="9"/>
      <c r="E151" s="9"/>
      <c r="F151" s="9"/>
      <c r="G151" s="9"/>
      <c r="H151" s="9"/>
      <c r="I151" s="9"/>
      <c r="J151" s="9"/>
      <c r="K151" s="9"/>
      <c r="L151" s="9"/>
      <c r="M151" s="9"/>
      <c r="N151" s="9"/>
      <c r="O151" s="9"/>
      <c r="P151" s="21" t="str">
        <f aca="false">IF(OR(A151="",LEFT(A151,2)="EX"),"",IF(AND(C151&lt;&gt;"",G151&lt;&gt;"",F151="Y",OR(I151="N",AND(I151="Y",ISNUMBER(J151)))),"Y","N"))</f>
        <v/>
      </c>
      <c r="Q151" s="22" t="str">
        <f aca="false">IF(P151="Y",IFERROR(INDEX(Questions!$D$5:$D$10,MATCH(G151,Questions!$A$5:$A$10,0)),1),"")</f>
        <v/>
      </c>
      <c r="R151" s="22" t="str">
        <f aca="false">IF(P151&lt;&gt;"Y","",IF(I151="N",0,INDEX(Settings!$B$15:$B$20,MATCH(MIN(J151,6),Settings!$A$15:$A$20,0))/Settings!$B$22*100))</f>
        <v/>
      </c>
      <c r="S151" s="22" t="str">
        <f aca="false">IF(P151="Y",R151*Q151,"")</f>
        <v/>
      </c>
    </row>
    <row r="152" customFormat="false" ht="15" hidden="false" customHeight="false" outlineLevel="0" collapsed="false">
      <c r="A152" s="9"/>
      <c r="B152" s="23"/>
      <c r="C152" s="9"/>
      <c r="D152" s="9"/>
      <c r="E152" s="9"/>
      <c r="F152" s="9"/>
      <c r="G152" s="9"/>
      <c r="H152" s="9"/>
      <c r="I152" s="9"/>
      <c r="J152" s="9"/>
      <c r="K152" s="9"/>
      <c r="L152" s="9"/>
      <c r="M152" s="9"/>
      <c r="N152" s="9"/>
      <c r="O152" s="9"/>
      <c r="P152" s="21" t="str">
        <f aca="false">IF(OR(A152="",LEFT(A152,2)="EX"),"",IF(AND(C152&lt;&gt;"",G152&lt;&gt;"",F152="Y",OR(I152="N",AND(I152="Y",ISNUMBER(J152)))),"Y","N"))</f>
        <v/>
      </c>
      <c r="Q152" s="22" t="str">
        <f aca="false">IF(P152="Y",IFERROR(INDEX(Questions!$D$5:$D$10,MATCH(G152,Questions!$A$5:$A$10,0)),1),"")</f>
        <v/>
      </c>
      <c r="R152" s="22" t="str">
        <f aca="false">IF(P152&lt;&gt;"Y","",IF(I152="N",0,INDEX(Settings!$B$15:$B$20,MATCH(MIN(J152,6),Settings!$A$15:$A$20,0))/Settings!$B$22*100))</f>
        <v/>
      </c>
      <c r="S152" s="22" t="str">
        <f aca="false">IF(P152="Y",R152*Q152,"")</f>
        <v/>
      </c>
    </row>
    <row r="153" customFormat="false" ht="15" hidden="false" customHeight="false" outlineLevel="0" collapsed="false">
      <c r="A153" s="9"/>
      <c r="B153" s="23"/>
      <c r="C153" s="9"/>
      <c r="D153" s="9"/>
      <c r="E153" s="9"/>
      <c r="F153" s="9"/>
      <c r="G153" s="9"/>
      <c r="H153" s="9"/>
      <c r="I153" s="9"/>
      <c r="J153" s="9"/>
      <c r="K153" s="9"/>
      <c r="L153" s="9"/>
      <c r="M153" s="9"/>
      <c r="N153" s="9"/>
      <c r="O153" s="9"/>
      <c r="P153" s="21" t="str">
        <f aca="false">IF(OR(A153="",LEFT(A153,2)="EX"),"",IF(AND(C153&lt;&gt;"",G153&lt;&gt;"",F153="Y",OR(I153="N",AND(I153="Y",ISNUMBER(J153)))),"Y","N"))</f>
        <v/>
      </c>
      <c r="Q153" s="22" t="str">
        <f aca="false">IF(P153="Y",IFERROR(INDEX(Questions!$D$5:$D$10,MATCH(G153,Questions!$A$5:$A$10,0)),1),"")</f>
        <v/>
      </c>
      <c r="R153" s="22" t="str">
        <f aca="false">IF(P153&lt;&gt;"Y","",IF(I153="N",0,INDEX(Settings!$B$15:$B$20,MATCH(MIN(J153,6),Settings!$A$15:$A$20,0))/Settings!$B$22*100))</f>
        <v/>
      </c>
      <c r="S153" s="22" t="str">
        <f aca="false">IF(P153="Y",R153*Q153,"")</f>
        <v/>
      </c>
    </row>
    <row r="154" customFormat="false" ht="15" hidden="false" customHeight="false" outlineLevel="0" collapsed="false">
      <c r="A154" s="9"/>
      <c r="B154" s="23"/>
      <c r="C154" s="9"/>
      <c r="D154" s="9"/>
      <c r="E154" s="9"/>
      <c r="F154" s="9"/>
      <c r="G154" s="9"/>
      <c r="H154" s="9"/>
      <c r="I154" s="9"/>
      <c r="J154" s="9"/>
      <c r="K154" s="9"/>
      <c r="L154" s="9"/>
      <c r="M154" s="9"/>
      <c r="N154" s="9"/>
      <c r="O154" s="9"/>
      <c r="P154" s="21" t="str">
        <f aca="false">IF(OR(A154="",LEFT(A154,2)="EX"),"",IF(AND(C154&lt;&gt;"",G154&lt;&gt;"",F154="Y",OR(I154="N",AND(I154="Y",ISNUMBER(J154)))),"Y","N"))</f>
        <v/>
      </c>
      <c r="Q154" s="22" t="str">
        <f aca="false">IF(P154="Y",IFERROR(INDEX(Questions!$D$5:$D$10,MATCH(G154,Questions!$A$5:$A$10,0)),1),"")</f>
        <v/>
      </c>
      <c r="R154" s="22" t="str">
        <f aca="false">IF(P154&lt;&gt;"Y","",IF(I154="N",0,INDEX(Settings!$B$15:$B$20,MATCH(MIN(J154,6),Settings!$A$15:$A$20,0))/Settings!$B$22*100))</f>
        <v/>
      </c>
      <c r="S154" s="22" t="str">
        <f aca="false">IF(P154="Y",R154*Q154,"")</f>
        <v/>
      </c>
    </row>
    <row r="155" customFormat="false" ht="15" hidden="false" customHeight="false" outlineLevel="0" collapsed="false">
      <c r="A155" s="9"/>
      <c r="B155" s="23"/>
      <c r="C155" s="9"/>
      <c r="D155" s="9"/>
      <c r="E155" s="9"/>
      <c r="F155" s="9"/>
      <c r="G155" s="9"/>
      <c r="H155" s="9"/>
      <c r="I155" s="9"/>
      <c r="J155" s="9"/>
      <c r="K155" s="9"/>
      <c r="L155" s="9"/>
      <c r="M155" s="9"/>
      <c r="N155" s="9"/>
      <c r="O155" s="9"/>
      <c r="P155" s="21" t="str">
        <f aca="false">IF(OR(A155="",LEFT(A155,2)="EX"),"",IF(AND(C155&lt;&gt;"",G155&lt;&gt;"",F155="Y",OR(I155="N",AND(I155="Y",ISNUMBER(J155)))),"Y","N"))</f>
        <v/>
      </c>
      <c r="Q155" s="22" t="str">
        <f aca="false">IF(P155="Y",IFERROR(INDEX(Questions!$D$5:$D$10,MATCH(G155,Questions!$A$5:$A$10,0)),1),"")</f>
        <v/>
      </c>
      <c r="R155" s="22" t="str">
        <f aca="false">IF(P155&lt;&gt;"Y","",IF(I155="N",0,INDEX(Settings!$B$15:$B$20,MATCH(MIN(J155,6),Settings!$A$15:$A$20,0))/Settings!$B$22*100))</f>
        <v/>
      </c>
      <c r="S155" s="22" t="str">
        <f aca="false">IF(P155="Y",R155*Q155,"")</f>
        <v/>
      </c>
    </row>
    <row r="156" customFormat="false" ht="15" hidden="false" customHeight="false" outlineLevel="0" collapsed="false">
      <c r="A156" s="9"/>
      <c r="B156" s="23"/>
      <c r="C156" s="9"/>
      <c r="D156" s="9"/>
      <c r="E156" s="9"/>
      <c r="F156" s="9"/>
      <c r="G156" s="9"/>
      <c r="H156" s="9"/>
      <c r="I156" s="9"/>
      <c r="J156" s="9"/>
      <c r="K156" s="9"/>
      <c r="L156" s="9"/>
      <c r="M156" s="9"/>
      <c r="N156" s="9"/>
      <c r="O156" s="9"/>
      <c r="P156" s="21" t="str">
        <f aca="false">IF(OR(A156="",LEFT(A156,2)="EX"),"",IF(AND(C156&lt;&gt;"",G156&lt;&gt;"",F156="Y",OR(I156="N",AND(I156="Y",ISNUMBER(J156)))),"Y","N"))</f>
        <v/>
      </c>
      <c r="Q156" s="22" t="str">
        <f aca="false">IF(P156="Y",IFERROR(INDEX(Questions!$D$5:$D$10,MATCH(G156,Questions!$A$5:$A$10,0)),1),"")</f>
        <v/>
      </c>
      <c r="R156" s="22" t="str">
        <f aca="false">IF(P156&lt;&gt;"Y","",IF(I156="N",0,INDEX(Settings!$B$15:$B$20,MATCH(MIN(J156,6),Settings!$A$15:$A$20,0))/Settings!$B$22*100))</f>
        <v/>
      </c>
      <c r="S156" s="22" t="str">
        <f aca="false">IF(P156="Y",R156*Q156,"")</f>
        <v/>
      </c>
    </row>
    <row r="157" customFormat="false" ht="15" hidden="false" customHeight="false" outlineLevel="0" collapsed="false">
      <c r="A157" s="9"/>
      <c r="B157" s="23"/>
      <c r="C157" s="9"/>
      <c r="D157" s="9"/>
      <c r="E157" s="9"/>
      <c r="F157" s="9"/>
      <c r="G157" s="9"/>
      <c r="H157" s="9"/>
      <c r="I157" s="9"/>
      <c r="J157" s="9"/>
      <c r="K157" s="9"/>
      <c r="L157" s="9"/>
      <c r="M157" s="9"/>
      <c r="N157" s="9"/>
      <c r="O157" s="9"/>
      <c r="P157" s="21" t="str">
        <f aca="false">IF(OR(A157="",LEFT(A157,2)="EX"),"",IF(AND(C157&lt;&gt;"",G157&lt;&gt;"",F157="Y",OR(I157="N",AND(I157="Y",ISNUMBER(J157)))),"Y","N"))</f>
        <v/>
      </c>
      <c r="Q157" s="22" t="str">
        <f aca="false">IF(P157="Y",IFERROR(INDEX(Questions!$D$5:$D$10,MATCH(G157,Questions!$A$5:$A$10,0)),1),"")</f>
        <v/>
      </c>
      <c r="R157" s="22" t="str">
        <f aca="false">IF(P157&lt;&gt;"Y","",IF(I157="N",0,INDEX(Settings!$B$15:$B$20,MATCH(MIN(J157,6),Settings!$A$15:$A$20,0))/Settings!$B$22*100))</f>
        <v/>
      </c>
      <c r="S157" s="22" t="str">
        <f aca="false">IF(P157="Y",R157*Q157,"")</f>
        <v/>
      </c>
    </row>
    <row r="158" customFormat="false" ht="15" hidden="false" customHeight="false" outlineLevel="0" collapsed="false">
      <c r="A158" s="9"/>
      <c r="B158" s="23"/>
      <c r="C158" s="9"/>
      <c r="D158" s="9"/>
      <c r="E158" s="9"/>
      <c r="F158" s="9"/>
      <c r="G158" s="9"/>
      <c r="H158" s="9"/>
      <c r="I158" s="9"/>
      <c r="J158" s="9"/>
      <c r="K158" s="9"/>
      <c r="L158" s="9"/>
      <c r="M158" s="9"/>
      <c r="N158" s="9"/>
      <c r="O158" s="9"/>
      <c r="P158" s="21" t="str">
        <f aca="false">IF(OR(A158="",LEFT(A158,2)="EX"),"",IF(AND(C158&lt;&gt;"",G158&lt;&gt;"",F158="Y",OR(I158="N",AND(I158="Y",ISNUMBER(J158)))),"Y","N"))</f>
        <v/>
      </c>
      <c r="Q158" s="22" t="str">
        <f aca="false">IF(P158="Y",IFERROR(INDEX(Questions!$D$5:$D$10,MATCH(G158,Questions!$A$5:$A$10,0)),1),"")</f>
        <v/>
      </c>
      <c r="R158" s="22" t="str">
        <f aca="false">IF(P158&lt;&gt;"Y","",IF(I158="N",0,INDEX(Settings!$B$15:$B$20,MATCH(MIN(J158,6),Settings!$A$15:$A$20,0))/Settings!$B$22*100))</f>
        <v/>
      </c>
      <c r="S158" s="22" t="str">
        <f aca="false">IF(P158="Y",R158*Q158,"")</f>
        <v/>
      </c>
    </row>
    <row r="159" customFormat="false" ht="15" hidden="false" customHeight="false" outlineLevel="0" collapsed="false">
      <c r="A159" s="9"/>
      <c r="B159" s="23"/>
      <c r="C159" s="9"/>
      <c r="D159" s="9"/>
      <c r="E159" s="9"/>
      <c r="F159" s="9"/>
      <c r="G159" s="9"/>
      <c r="H159" s="9"/>
      <c r="I159" s="9"/>
      <c r="J159" s="9"/>
      <c r="K159" s="9"/>
      <c r="L159" s="9"/>
      <c r="M159" s="9"/>
      <c r="N159" s="9"/>
      <c r="O159" s="9"/>
      <c r="P159" s="21" t="str">
        <f aca="false">IF(OR(A159="",LEFT(A159,2)="EX"),"",IF(AND(C159&lt;&gt;"",G159&lt;&gt;"",F159="Y",OR(I159="N",AND(I159="Y",ISNUMBER(J159)))),"Y","N"))</f>
        <v/>
      </c>
      <c r="Q159" s="22" t="str">
        <f aca="false">IF(P159="Y",IFERROR(INDEX(Questions!$D$5:$D$10,MATCH(G159,Questions!$A$5:$A$10,0)),1),"")</f>
        <v/>
      </c>
      <c r="R159" s="22" t="str">
        <f aca="false">IF(P159&lt;&gt;"Y","",IF(I159="N",0,INDEX(Settings!$B$15:$B$20,MATCH(MIN(J159,6),Settings!$A$15:$A$20,0))/Settings!$B$22*100))</f>
        <v/>
      </c>
      <c r="S159" s="22" t="str">
        <f aca="false">IF(P159="Y",R159*Q159,"")</f>
        <v/>
      </c>
    </row>
    <row r="160" customFormat="false" ht="15" hidden="false" customHeight="false" outlineLevel="0" collapsed="false">
      <c r="A160" s="9"/>
      <c r="B160" s="23"/>
      <c r="C160" s="9"/>
      <c r="D160" s="9"/>
      <c r="E160" s="9"/>
      <c r="F160" s="9"/>
      <c r="G160" s="9"/>
      <c r="H160" s="9"/>
      <c r="I160" s="9"/>
      <c r="J160" s="9"/>
      <c r="K160" s="9"/>
      <c r="L160" s="9"/>
      <c r="M160" s="9"/>
      <c r="N160" s="9"/>
      <c r="O160" s="9"/>
      <c r="P160" s="21" t="str">
        <f aca="false">IF(OR(A160="",LEFT(A160,2)="EX"),"",IF(AND(C160&lt;&gt;"",G160&lt;&gt;"",F160="Y",OR(I160="N",AND(I160="Y",ISNUMBER(J160)))),"Y","N"))</f>
        <v/>
      </c>
      <c r="Q160" s="22" t="str">
        <f aca="false">IF(P160="Y",IFERROR(INDEX(Questions!$D$5:$D$10,MATCH(G160,Questions!$A$5:$A$10,0)),1),"")</f>
        <v/>
      </c>
      <c r="R160" s="22" t="str">
        <f aca="false">IF(P160&lt;&gt;"Y","",IF(I160="N",0,INDEX(Settings!$B$15:$B$20,MATCH(MIN(J160,6),Settings!$A$15:$A$20,0))/Settings!$B$22*100))</f>
        <v/>
      </c>
      <c r="S160" s="22" t="str">
        <f aca="false">IF(P160="Y",R160*Q160,"")</f>
        <v/>
      </c>
    </row>
    <row r="161" customFormat="false" ht="15" hidden="false" customHeight="false" outlineLevel="0" collapsed="false">
      <c r="A161" s="9"/>
      <c r="B161" s="23"/>
      <c r="C161" s="9"/>
      <c r="D161" s="9"/>
      <c r="E161" s="9"/>
      <c r="F161" s="9"/>
      <c r="G161" s="9"/>
      <c r="H161" s="9"/>
      <c r="I161" s="9"/>
      <c r="J161" s="9"/>
      <c r="K161" s="9"/>
      <c r="L161" s="9"/>
      <c r="M161" s="9"/>
      <c r="N161" s="9"/>
      <c r="O161" s="9"/>
      <c r="P161" s="21" t="str">
        <f aca="false">IF(OR(A161="",LEFT(A161,2)="EX"),"",IF(AND(C161&lt;&gt;"",G161&lt;&gt;"",F161="Y",OR(I161="N",AND(I161="Y",ISNUMBER(J161)))),"Y","N"))</f>
        <v/>
      </c>
      <c r="Q161" s="22" t="str">
        <f aca="false">IF(P161="Y",IFERROR(INDEX(Questions!$D$5:$D$10,MATCH(G161,Questions!$A$5:$A$10,0)),1),"")</f>
        <v/>
      </c>
      <c r="R161" s="22" t="str">
        <f aca="false">IF(P161&lt;&gt;"Y","",IF(I161="N",0,INDEX(Settings!$B$15:$B$20,MATCH(MIN(J161,6),Settings!$A$15:$A$20,0))/Settings!$B$22*100))</f>
        <v/>
      </c>
      <c r="S161" s="22" t="str">
        <f aca="false">IF(P161="Y",R161*Q161,"")</f>
        <v/>
      </c>
    </row>
    <row r="162" customFormat="false" ht="15" hidden="false" customHeight="false" outlineLevel="0" collapsed="false">
      <c r="A162" s="9"/>
      <c r="B162" s="23"/>
      <c r="C162" s="9"/>
      <c r="D162" s="9"/>
      <c r="E162" s="9"/>
      <c r="F162" s="9"/>
      <c r="G162" s="9"/>
      <c r="H162" s="9"/>
      <c r="I162" s="9"/>
      <c r="J162" s="9"/>
      <c r="K162" s="9"/>
      <c r="L162" s="9"/>
      <c r="M162" s="9"/>
      <c r="N162" s="9"/>
      <c r="O162" s="9"/>
      <c r="P162" s="21" t="str">
        <f aca="false">IF(OR(A162="",LEFT(A162,2)="EX"),"",IF(AND(C162&lt;&gt;"",G162&lt;&gt;"",F162="Y",OR(I162="N",AND(I162="Y",ISNUMBER(J162)))),"Y","N"))</f>
        <v/>
      </c>
      <c r="Q162" s="22" t="str">
        <f aca="false">IF(P162="Y",IFERROR(INDEX(Questions!$D$5:$D$10,MATCH(G162,Questions!$A$5:$A$10,0)),1),"")</f>
        <v/>
      </c>
      <c r="R162" s="22" t="str">
        <f aca="false">IF(P162&lt;&gt;"Y","",IF(I162="N",0,INDEX(Settings!$B$15:$B$20,MATCH(MIN(J162,6),Settings!$A$15:$A$20,0))/Settings!$B$22*100))</f>
        <v/>
      </c>
      <c r="S162" s="22" t="str">
        <f aca="false">IF(P162="Y",R162*Q162,"")</f>
        <v/>
      </c>
    </row>
    <row r="163" customFormat="false" ht="15" hidden="false" customHeight="false" outlineLevel="0" collapsed="false">
      <c r="A163" s="9"/>
      <c r="B163" s="23"/>
      <c r="C163" s="9"/>
      <c r="D163" s="9"/>
      <c r="E163" s="9"/>
      <c r="F163" s="9"/>
      <c r="G163" s="9"/>
      <c r="H163" s="9"/>
      <c r="I163" s="9"/>
      <c r="J163" s="9"/>
      <c r="K163" s="9"/>
      <c r="L163" s="9"/>
      <c r="M163" s="9"/>
      <c r="N163" s="9"/>
      <c r="O163" s="9"/>
      <c r="P163" s="21" t="str">
        <f aca="false">IF(OR(A163="",LEFT(A163,2)="EX"),"",IF(AND(C163&lt;&gt;"",G163&lt;&gt;"",F163="Y",OR(I163="N",AND(I163="Y",ISNUMBER(J163)))),"Y","N"))</f>
        <v/>
      </c>
      <c r="Q163" s="22" t="str">
        <f aca="false">IF(P163="Y",IFERROR(INDEX(Questions!$D$5:$D$10,MATCH(G163,Questions!$A$5:$A$10,0)),1),"")</f>
        <v/>
      </c>
      <c r="R163" s="22" t="str">
        <f aca="false">IF(P163&lt;&gt;"Y","",IF(I163="N",0,INDEX(Settings!$B$15:$B$20,MATCH(MIN(J163,6),Settings!$A$15:$A$20,0))/Settings!$B$22*100))</f>
        <v/>
      </c>
      <c r="S163" s="22" t="str">
        <f aca="false">IF(P163="Y",R163*Q163,"")</f>
        <v/>
      </c>
    </row>
    <row r="164" customFormat="false" ht="15" hidden="false" customHeight="false" outlineLevel="0" collapsed="false">
      <c r="A164" s="9"/>
      <c r="B164" s="23"/>
      <c r="C164" s="9"/>
      <c r="D164" s="9"/>
      <c r="E164" s="9"/>
      <c r="F164" s="9"/>
      <c r="G164" s="9"/>
      <c r="H164" s="9"/>
      <c r="I164" s="9"/>
      <c r="J164" s="9"/>
      <c r="K164" s="9"/>
      <c r="L164" s="9"/>
      <c r="M164" s="9"/>
      <c r="N164" s="9"/>
      <c r="O164" s="9"/>
      <c r="P164" s="21" t="str">
        <f aca="false">IF(OR(A164="",LEFT(A164,2)="EX"),"",IF(AND(C164&lt;&gt;"",G164&lt;&gt;"",F164="Y",OR(I164="N",AND(I164="Y",ISNUMBER(J164)))),"Y","N"))</f>
        <v/>
      </c>
      <c r="Q164" s="22" t="str">
        <f aca="false">IF(P164="Y",IFERROR(INDEX(Questions!$D$5:$D$10,MATCH(G164,Questions!$A$5:$A$10,0)),1),"")</f>
        <v/>
      </c>
      <c r="R164" s="22" t="str">
        <f aca="false">IF(P164&lt;&gt;"Y","",IF(I164="N",0,INDEX(Settings!$B$15:$B$20,MATCH(MIN(J164,6),Settings!$A$15:$A$20,0))/Settings!$B$22*100))</f>
        <v/>
      </c>
      <c r="S164" s="22" t="str">
        <f aca="false">IF(P164="Y",R164*Q164,"")</f>
        <v/>
      </c>
    </row>
    <row r="165" customFormat="false" ht="15" hidden="false" customHeight="false" outlineLevel="0" collapsed="false">
      <c r="A165" s="9"/>
      <c r="B165" s="23"/>
      <c r="C165" s="9"/>
      <c r="D165" s="9"/>
      <c r="E165" s="9"/>
      <c r="F165" s="9"/>
      <c r="G165" s="9"/>
      <c r="H165" s="9"/>
      <c r="I165" s="9"/>
      <c r="J165" s="9"/>
      <c r="K165" s="9"/>
      <c r="L165" s="9"/>
      <c r="M165" s="9"/>
      <c r="N165" s="9"/>
      <c r="O165" s="9"/>
      <c r="P165" s="21" t="str">
        <f aca="false">IF(OR(A165="",LEFT(A165,2)="EX"),"",IF(AND(C165&lt;&gt;"",G165&lt;&gt;"",F165="Y",OR(I165="N",AND(I165="Y",ISNUMBER(J165)))),"Y","N"))</f>
        <v/>
      </c>
      <c r="Q165" s="22" t="str">
        <f aca="false">IF(P165="Y",IFERROR(INDEX(Questions!$D$5:$D$10,MATCH(G165,Questions!$A$5:$A$10,0)),1),"")</f>
        <v/>
      </c>
      <c r="R165" s="22" t="str">
        <f aca="false">IF(P165&lt;&gt;"Y","",IF(I165="N",0,INDEX(Settings!$B$15:$B$20,MATCH(MIN(J165,6),Settings!$A$15:$A$20,0))/Settings!$B$22*100))</f>
        <v/>
      </c>
      <c r="S165" s="22" t="str">
        <f aca="false">IF(P165="Y",R165*Q165,"")</f>
        <v/>
      </c>
    </row>
    <row r="166" customFormat="false" ht="15" hidden="false" customHeight="false" outlineLevel="0" collapsed="false">
      <c r="A166" s="9"/>
      <c r="B166" s="23"/>
      <c r="C166" s="9"/>
      <c r="D166" s="9"/>
      <c r="E166" s="9"/>
      <c r="F166" s="9"/>
      <c r="G166" s="9"/>
      <c r="H166" s="9"/>
      <c r="I166" s="9"/>
      <c r="J166" s="9"/>
      <c r="K166" s="9"/>
      <c r="L166" s="9"/>
      <c r="M166" s="9"/>
      <c r="N166" s="9"/>
      <c r="O166" s="9"/>
      <c r="P166" s="21" t="str">
        <f aca="false">IF(OR(A166="",LEFT(A166,2)="EX"),"",IF(AND(C166&lt;&gt;"",G166&lt;&gt;"",F166="Y",OR(I166="N",AND(I166="Y",ISNUMBER(J166)))),"Y","N"))</f>
        <v/>
      </c>
      <c r="Q166" s="22" t="str">
        <f aca="false">IF(P166="Y",IFERROR(INDEX(Questions!$D$5:$D$10,MATCH(G166,Questions!$A$5:$A$10,0)),1),"")</f>
        <v/>
      </c>
      <c r="R166" s="22" t="str">
        <f aca="false">IF(P166&lt;&gt;"Y","",IF(I166="N",0,INDEX(Settings!$B$15:$B$20,MATCH(MIN(J166,6),Settings!$A$15:$A$20,0))/Settings!$B$22*100))</f>
        <v/>
      </c>
      <c r="S166" s="22" t="str">
        <f aca="false">IF(P166="Y",R166*Q166,"")</f>
        <v/>
      </c>
    </row>
    <row r="167" customFormat="false" ht="15" hidden="false" customHeight="false" outlineLevel="0" collapsed="false">
      <c r="A167" s="9"/>
      <c r="B167" s="23"/>
      <c r="C167" s="9"/>
      <c r="D167" s="9"/>
      <c r="E167" s="9"/>
      <c r="F167" s="9"/>
      <c r="G167" s="9"/>
      <c r="H167" s="9"/>
      <c r="I167" s="9"/>
      <c r="J167" s="9"/>
      <c r="K167" s="9"/>
      <c r="L167" s="9"/>
      <c r="M167" s="9"/>
      <c r="N167" s="9"/>
      <c r="O167" s="9"/>
      <c r="P167" s="21" t="str">
        <f aca="false">IF(OR(A167="",LEFT(A167,2)="EX"),"",IF(AND(C167&lt;&gt;"",G167&lt;&gt;"",F167="Y",OR(I167="N",AND(I167="Y",ISNUMBER(J167)))),"Y","N"))</f>
        <v/>
      </c>
      <c r="Q167" s="22" t="str">
        <f aca="false">IF(P167="Y",IFERROR(INDEX(Questions!$D$5:$D$10,MATCH(G167,Questions!$A$5:$A$10,0)),1),"")</f>
        <v/>
      </c>
      <c r="R167" s="22" t="str">
        <f aca="false">IF(P167&lt;&gt;"Y","",IF(I167="N",0,INDEX(Settings!$B$15:$B$20,MATCH(MIN(J167,6),Settings!$A$15:$A$20,0))/Settings!$B$22*100))</f>
        <v/>
      </c>
      <c r="S167" s="22" t="str">
        <f aca="false">IF(P167="Y",R167*Q167,"")</f>
        <v/>
      </c>
    </row>
    <row r="168" customFormat="false" ht="15" hidden="false" customHeight="false" outlineLevel="0" collapsed="false">
      <c r="A168" s="9"/>
      <c r="B168" s="23"/>
      <c r="C168" s="9"/>
      <c r="D168" s="9"/>
      <c r="E168" s="9"/>
      <c r="F168" s="9"/>
      <c r="G168" s="9"/>
      <c r="H168" s="9"/>
      <c r="I168" s="9"/>
      <c r="J168" s="9"/>
      <c r="K168" s="9"/>
      <c r="L168" s="9"/>
      <c r="M168" s="9"/>
      <c r="N168" s="9"/>
      <c r="O168" s="9"/>
      <c r="P168" s="21" t="str">
        <f aca="false">IF(OR(A168="",LEFT(A168,2)="EX"),"",IF(AND(C168&lt;&gt;"",G168&lt;&gt;"",F168="Y",OR(I168="N",AND(I168="Y",ISNUMBER(J168)))),"Y","N"))</f>
        <v/>
      </c>
      <c r="Q168" s="22" t="str">
        <f aca="false">IF(P168="Y",IFERROR(INDEX(Questions!$D$5:$D$10,MATCH(G168,Questions!$A$5:$A$10,0)),1),"")</f>
        <v/>
      </c>
      <c r="R168" s="22" t="str">
        <f aca="false">IF(P168&lt;&gt;"Y","",IF(I168="N",0,INDEX(Settings!$B$15:$B$20,MATCH(MIN(J168,6),Settings!$A$15:$A$20,0))/Settings!$B$22*100))</f>
        <v/>
      </c>
      <c r="S168" s="22" t="str">
        <f aca="false">IF(P168="Y",R168*Q168,"")</f>
        <v/>
      </c>
    </row>
    <row r="169" customFormat="false" ht="15" hidden="false" customHeight="false" outlineLevel="0" collapsed="false">
      <c r="A169" s="9"/>
      <c r="B169" s="23"/>
      <c r="C169" s="9"/>
      <c r="D169" s="9"/>
      <c r="E169" s="9"/>
      <c r="F169" s="9"/>
      <c r="G169" s="9"/>
      <c r="H169" s="9"/>
      <c r="I169" s="9"/>
      <c r="J169" s="9"/>
      <c r="K169" s="9"/>
      <c r="L169" s="9"/>
      <c r="M169" s="9"/>
      <c r="N169" s="9"/>
      <c r="O169" s="9"/>
      <c r="P169" s="21" t="str">
        <f aca="false">IF(OR(A169="",LEFT(A169,2)="EX"),"",IF(AND(C169&lt;&gt;"",G169&lt;&gt;"",F169="Y",OR(I169="N",AND(I169="Y",ISNUMBER(J169)))),"Y","N"))</f>
        <v/>
      </c>
      <c r="Q169" s="22" t="str">
        <f aca="false">IF(P169="Y",IFERROR(INDEX(Questions!$D$5:$D$10,MATCH(G169,Questions!$A$5:$A$10,0)),1),"")</f>
        <v/>
      </c>
      <c r="R169" s="22" t="str">
        <f aca="false">IF(P169&lt;&gt;"Y","",IF(I169="N",0,INDEX(Settings!$B$15:$B$20,MATCH(MIN(J169,6),Settings!$A$15:$A$20,0))/Settings!$B$22*100))</f>
        <v/>
      </c>
      <c r="S169" s="22" t="str">
        <f aca="false">IF(P169="Y",R169*Q169,"")</f>
        <v/>
      </c>
    </row>
    <row r="170" customFormat="false" ht="15" hidden="false" customHeight="false" outlineLevel="0" collapsed="false">
      <c r="A170" s="9"/>
      <c r="B170" s="23"/>
      <c r="C170" s="9"/>
      <c r="D170" s="9"/>
      <c r="E170" s="9"/>
      <c r="F170" s="9"/>
      <c r="G170" s="9"/>
      <c r="H170" s="9"/>
      <c r="I170" s="9"/>
      <c r="J170" s="9"/>
      <c r="K170" s="9"/>
      <c r="L170" s="9"/>
      <c r="M170" s="9"/>
      <c r="N170" s="9"/>
      <c r="O170" s="9"/>
      <c r="P170" s="21" t="str">
        <f aca="false">IF(OR(A170="",LEFT(A170,2)="EX"),"",IF(AND(C170&lt;&gt;"",G170&lt;&gt;"",F170="Y",OR(I170="N",AND(I170="Y",ISNUMBER(J170)))),"Y","N"))</f>
        <v/>
      </c>
      <c r="Q170" s="22" t="str">
        <f aca="false">IF(P170="Y",IFERROR(INDEX(Questions!$D$5:$D$10,MATCH(G170,Questions!$A$5:$A$10,0)),1),"")</f>
        <v/>
      </c>
      <c r="R170" s="22" t="str">
        <f aca="false">IF(P170&lt;&gt;"Y","",IF(I170="N",0,INDEX(Settings!$B$15:$B$20,MATCH(MIN(J170,6),Settings!$A$15:$A$20,0))/Settings!$B$22*100))</f>
        <v/>
      </c>
      <c r="S170" s="22" t="str">
        <f aca="false">IF(P170="Y",R170*Q170,"")</f>
        <v/>
      </c>
    </row>
    <row r="171" customFormat="false" ht="15" hidden="false" customHeight="false" outlineLevel="0" collapsed="false">
      <c r="A171" s="9"/>
      <c r="B171" s="23"/>
      <c r="C171" s="9"/>
      <c r="D171" s="9"/>
      <c r="E171" s="9"/>
      <c r="F171" s="9"/>
      <c r="G171" s="9"/>
      <c r="H171" s="9"/>
      <c r="I171" s="9"/>
      <c r="J171" s="9"/>
      <c r="K171" s="9"/>
      <c r="L171" s="9"/>
      <c r="M171" s="9"/>
      <c r="N171" s="9"/>
      <c r="O171" s="9"/>
      <c r="P171" s="21" t="str">
        <f aca="false">IF(OR(A171="",LEFT(A171,2)="EX"),"",IF(AND(C171&lt;&gt;"",G171&lt;&gt;"",F171="Y",OR(I171="N",AND(I171="Y",ISNUMBER(J171)))),"Y","N"))</f>
        <v/>
      </c>
      <c r="Q171" s="22" t="str">
        <f aca="false">IF(P171="Y",IFERROR(INDEX(Questions!$D$5:$D$10,MATCH(G171,Questions!$A$5:$A$10,0)),1),"")</f>
        <v/>
      </c>
      <c r="R171" s="22" t="str">
        <f aca="false">IF(P171&lt;&gt;"Y","",IF(I171="N",0,INDEX(Settings!$B$15:$B$20,MATCH(MIN(J171,6),Settings!$A$15:$A$20,0))/Settings!$B$22*100))</f>
        <v/>
      </c>
      <c r="S171" s="22" t="str">
        <f aca="false">IF(P171="Y",R171*Q171,"")</f>
        <v/>
      </c>
    </row>
    <row r="172" customFormat="false" ht="15" hidden="false" customHeight="false" outlineLevel="0" collapsed="false">
      <c r="A172" s="9"/>
      <c r="B172" s="23"/>
      <c r="C172" s="9"/>
      <c r="D172" s="9"/>
      <c r="E172" s="9"/>
      <c r="F172" s="9"/>
      <c r="G172" s="9"/>
      <c r="H172" s="9"/>
      <c r="I172" s="9"/>
      <c r="J172" s="9"/>
      <c r="K172" s="9"/>
      <c r="L172" s="9"/>
      <c r="M172" s="9"/>
      <c r="N172" s="9"/>
      <c r="O172" s="9"/>
      <c r="P172" s="21" t="str">
        <f aca="false">IF(OR(A172="",LEFT(A172,2)="EX"),"",IF(AND(C172&lt;&gt;"",G172&lt;&gt;"",F172="Y",OR(I172="N",AND(I172="Y",ISNUMBER(J172)))),"Y","N"))</f>
        <v/>
      </c>
      <c r="Q172" s="22" t="str">
        <f aca="false">IF(P172="Y",IFERROR(INDEX(Questions!$D$5:$D$10,MATCH(G172,Questions!$A$5:$A$10,0)),1),"")</f>
        <v/>
      </c>
      <c r="R172" s="22" t="str">
        <f aca="false">IF(P172&lt;&gt;"Y","",IF(I172="N",0,INDEX(Settings!$B$15:$B$20,MATCH(MIN(J172,6),Settings!$A$15:$A$20,0))/Settings!$B$22*100))</f>
        <v/>
      </c>
      <c r="S172" s="22" t="str">
        <f aca="false">IF(P172="Y",R172*Q172,"")</f>
        <v/>
      </c>
    </row>
    <row r="173" customFormat="false" ht="15" hidden="false" customHeight="false" outlineLevel="0" collapsed="false">
      <c r="A173" s="9"/>
      <c r="B173" s="23"/>
      <c r="C173" s="9"/>
      <c r="D173" s="9"/>
      <c r="E173" s="9"/>
      <c r="F173" s="9"/>
      <c r="G173" s="9"/>
      <c r="H173" s="9"/>
      <c r="I173" s="9"/>
      <c r="J173" s="9"/>
      <c r="K173" s="9"/>
      <c r="L173" s="9"/>
      <c r="M173" s="9"/>
      <c r="N173" s="9"/>
      <c r="O173" s="9"/>
      <c r="P173" s="21" t="str">
        <f aca="false">IF(OR(A173="",LEFT(A173,2)="EX"),"",IF(AND(C173&lt;&gt;"",G173&lt;&gt;"",F173="Y",OR(I173="N",AND(I173="Y",ISNUMBER(J173)))),"Y","N"))</f>
        <v/>
      </c>
      <c r="Q173" s="22" t="str">
        <f aca="false">IF(P173="Y",IFERROR(INDEX(Questions!$D$5:$D$10,MATCH(G173,Questions!$A$5:$A$10,0)),1),"")</f>
        <v/>
      </c>
      <c r="R173" s="22" t="str">
        <f aca="false">IF(P173&lt;&gt;"Y","",IF(I173="N",0,INDEX(Settings!$B$15:$B$20,MATCH(MIN(J173,6),Settings!$A$15:$A$20,0))/Settings!$B$22*100))</f>
        <v/>
      </c>
      <c r="S173" s="22" t="str">
        <f aca="false">IF(P173="Y",R173*Q173,"")</f>
        <v/>
      </c>
    </row>
    <row r="174" customFormat="false" ht="15" hidden="false" customHeight="false" outlineLevel="0" collapsed="false">
      <c r="A174" s="9"/>
      <c r="B174" s="23"/>
      <c r="C174" s="9"/>
      <c r="D174" s="9"/>
      <c r="E174" s="9"/>
      <c r="F174" s="9"/>
      <c r="G174" s="9"/>
      <c r="H174" s="9"/>
      <c r="I174" s="9"/>
      <c r="J174" s="9"/>
      <c r="K174" s="9"/>
      <c r="L174" s="9"/>
      <c r="M174" s="9"/>
      <c r="N174" s="9"/>
      <c r="O174" s="9"/>
      <c r="P174" s="21" t="str">
        <f aca="false">IF(OR(A174="",LEFT(A174,2)="EX"),"",IF(AND(C174&lt;&gt;"",G174&lt;&gt;"",F174="Y",OR(I174="N",AND(I174="Y",ISNUMBER(J174)))),"Y","N"))</f>
        <v/>
      </c>
      <c r="Q174" s="22" t="str">
        <f aca="false">IF(P174="Y",IFERROR(INDEX(Questions!$D$5:$D$10,MATCH(G174,Questions!$A$5:$A$10,0)),1),"")</f>
        <v/>
      </c>
      <c r="R174" s="22" t="str">
        <f aca="false">IF(P174&lt;&gt;"Y","",IF(I174="N",0,INDEX(Settings!$B$15:$B$20,MATCH(MIN(J174,6),Settings!$A$15:$A$20,0))/Settings!$B$22*100))</f>
        <v/>
      </c>
      <c r="S174" s="22" t="str">
        <f aca="false">IF(P174="Y",R174*Q174,"")</f>
        <v/>
      </c>
    </row>
    <row r="175" customFormat="false" ht="15" hidden="false" customHeight="false" outlineLevel="0" collapsed="false">
      <c r="A175" s="9"/>
      <c r="B175" s="23"/>
      <c r="C175" s="9"/>
      <c r="D175" s="9"/>
      <c r="E175" s="9"/>
      <c r="F175" s="9"/>
      <c r="G175" s="9"/>
      <c r="H175" s="9"/>
      <c r="I175" s="9"/>
      <c r="J175" s="9"/>
      <c r="K175" s="9"/>
      <c r="L175" s="9"/>
      <c r="M175" s="9"/>
      <c r="N175" s="9"/>
      <c r="O175" s="9"/>
      <c r="P175" s="21" t="str">
        <f aca="false">IF(OR(A175="",LEFT(A175,2)="EX"),"",IF(AND(C175&lt;&gt;"",G175&lt;&gt;"",F175="Y",OR(I175="N",AND(I175="Y",ISNUMBER(J175)))),"Y","N"))</f>
        <v/>
      </c>
      <c r="Q175" s="22" t="str">
        <f aca="false">IF(P175="Y",IFERROR(INDEX(Questions!$D$5:$D$10,MATCH(G175,Questions!$A$5:$A$10,0)),1),"")</f>
        <v/>
      </c>
      <c r="R175" s="22" t="str">
        <f aca="false">IF(P175&lt;&gt;"Y","",IF(I175="N",0,INDEX(Settings!$B$15:$B$20,MATCH(MIN(J175,6),Settings!$A$15:$A$20,0))/Settings!$B$22*100))</f>
        <v/>
      </c>
      <c r="S175" s="22" t="str">
        <f aca="false">IF(P175="Y",R175*Q175,"")</f>
        <v/>
      </c>
    </row>
    <row r="176" customFormat="false" ht="15" hidden="false" customHeight="false" outlineLevel="0" collapsed="false">
      <c r="A176" s="9"/>
      <c r="B176" s="23"/>
      <c r="C176" s="9"/>
      <c r="D176" s="9"/>
      <c r="E176" s="9"/>
      <c r="F176" s="9"/>
      <c r="G176" s="9"/>
      <c r="H176" s="9"/>
      <c r="I176" s="9"/>
      <c r="J176" s="9"/>
      <c r="K176" s="9"/>
      <c r="L176" s="9"/>
      <c r="M176" s="9"/>
      <c r="N176" s="9"/>
      <c r="O176" s="9"/>
      <c r="P176" s="21" t="str">
        <f aca="false">IF(OR(A176="",LEFT(A176,2)="EX"),"",IF(AND(C176&lt;&gt;"",G176&lt;&gt;"",F176="Y",OR(I176="N",AND(I176="Y",ISNUMBER(J176)))),"Y","N"))</f>
        <v/>
      </c>
      <c r="Q176" s="22" t="str">
        <f aca="false">IF(P176="Y",IFERROR(INDEX(Questions!$D$5:$D$10,MATCH(G176,Questions!$A$5:$A$10,0)),1),"")</f>
        <v/>
      </c>
      <c r="R176" s="22" t="str">
        <f aca="false">IF(P176&lt;&gt;"Y","",IF(I176="N",0,INDEX(Settings!$B$15:$B$20,MATCH(MIN(J176,6),Settings!$A$15:$A$20,0))/Settings!$B$22*100))</f>
        <v/>
      </c>
      <c r="S176" s="22" t="str">
        <f aca="false">IF(P176="Y",R176*Q176,"")</f>
        <v/>
      </c>
    </row>
    <row r="177" customFormat="false" ht="15" hidden="false" customHeight="false" outlineLevel="0" collapsed="false">
      <c r="A177" s="9"/>
      <c r="B177" s="23"/>
      <c r="C177" s="9"/>
      <c r="D177" s="9"/>
      <c r="E177" s="9"/>
      <c r="F177" s="9"/>
      <c r="G177" s="9"/>
      <c r="H177" s="9"/>
      <c r="I177" s="9"/>
      <c r="J177" s="9"/>
      <c r="K177" s="9"/>
      <c r="L177" s="9"/>
      <c r="M177" s="9"/>
      <c r="N177" s="9"/>
      <c r="O177" s="9"/>
      <c r="P177" s="21" t="str">
        <f aca="false">IF(OR(A177="",LEFT(A177,2)="EX"),"",IF(AND(C177&lt;&gt;"",G177&lt;&gt;"",F177="Y",OR(I177="N",AND(I177="Y",ISNUMBER(J177)))),"Y","N"))</f>
        <v/>
      </c>
      <c r="Q177" s="22" t="str">
        <f aca="false">IF(P177="Y",IFERROR(INDEX(Questions!$D$5:$D$10,MATCH(G177,Questions!$A$5:$A$10,0)),1),"")</f>
        <v/>
      </c>
      <c r="R177" s="22" t="str">
        <f aca="false">IF(P177&lt;&gt;"Y","",IF(I177="N",0,INDEX(Settings!$B$15:$B$20,MATCH(MIN(J177,6),Settings!$A$15:$A$20,0))/Settings!$B$22*100))</f>
        <v/>
      </c>
      <c r="S177" s="22" t="str">
        <f aca="false">IF(P177="Y",R177*Q177,"")</f>
        <v/>
      </c>
    </row>
    <row r="178" customFormat="false" ht="15" hidden="false" customHeight="false" outlineLevel="0" collapsed="false">
      <c r="A178" s="9"/>
      <c r="B178" s="23"/>
      <c r="C178" s="9"/>
      <c r="D178" s="9"/>
      <c r="E178" s="9"/>
      <c r="F178" s="9"/>
      <c r="G178" s="9"/>
      <c r="H178" s="9"/>
      <c r="I178" s="9"/>
      <c r="J178" s="9"/>
      <c r="K178" s="9"/>
      <c r="L178" s="9"/>
      <c r="M178" s="9"/>
      <c r="N178" s="9"/>
      <c r="O178" s="9"/>
      <c r="P178" s="21" t="str">
        <f aca="false">IF(OR(A178="",LEFT(A178,2)="EX"),"",IF(AND(C178&lt;&gt;"",G178&lt;&gt;"",F178="Y",OR(I178="N",AND(I178="Y",ISNUMBER(J178)))),"Y","N"))</f>
        <v/>
      </c>
      <c r="Q178" s="22" t="str">
        <f aca="false">IF(P178="Y",IFERROR(INDEX(Questions!$D$5:$D$10,MATCH(G178,Questions!$A$5:$A$10,0)),1),"")</f>
        <v/>
      </c>
      <c r="R178" s="22" t="str">
        <f aca="false">IF(P178&lt;&gt;"Y","",IF(I178="N",0,INDEX(Settings!$B$15:$B$20,MATCH(MIN(J178,6),Settings!$A$15:$A$20,0))/Settings!$B$22*100))</f>
        <v/>
      </c>
      <c r="S178" s="22" t="str">
        <f aca="false">IF(P178="Y",R178*Q178,"")</f>
        <v/>
      </c>
    </row>
    <row r="179" customFormat="false" ht="15" hidden="false" customHeight="false" outlineLevel="0" collapsed="false">
      <c r="A179" s="9"/>
      <c r="B179" s="23"/>
      <c r="C179" s="9"/>
      <c r="D179" s="9"/>
      <c r="E179" s="9"/>
      <c r="F179" s="9"/>
      <c r="G179" s="9"/>
      <c r="H179" s="9"/>
      <c r="I179" s="9"/>
      <c r="J179" s="9"/>
      <c r="K179" s="9"/>
      <c r="L179" s="9"/>
      <c r="M179" s="9"/>
      <c r="N179" s="9"/>
      <c r="O179" s="9"/>
      <c r="P179" s="21" t="str">
        <f aca="false">IF(OR(A179="",LEFT(A179,2)="EX"),"",IF(AND(C179&lt;&gt;"",G179&lt;&gt;"",F179="Y",OR(I179="N",AND(I179="Y",ISNUMBER(J179)))),"Y","N"))</f>
        <v/>
      </c>
      <c r="Q179" s="22" t="str">
        <f aca="false">IF(P179="Y",IFERROR(INDEX(Questions!$D$5:$D$10,MATCH(G179,Questions!$A$5:$A$10,0)),1),"")</f>
        <v/>
      </c>
      <c r="R179" s="22" t="str">
        <f aca="false">IF(P179&lt;&gt;"Y","",IF(I179="N",0,INDEX(Settings!$B$15:$B$20,MATCH(MIN(J179,6),Settings!$A$15:$A$20,0))/Settings!$B$22*100))</f>
        <v/>
      </c>
      <c r="S179" s="22" t="str">
        <f aca="false">IF(P179="Y",R179*Q179,"")</f>
        <v/>
      </c>
    </row>
    <row r="180" customFormat="false" ht="15" hidden="false" customHeight="false" outlineLevel="0" collapsed="false">
      <c r="A180" s="9"/>
      <c r="B180" s="23"/>
      <c r="C180" s="9"/>
      <c r="D180" s="9"/>
      <c r="E180" s="9"/>
      <c r="F180" s="9"/>
      <c r="G180" s="9"/>
      <c r="H180" s="9"/>
      <c r="I180" s="9"/>
      <c r="J180" s="9"/>
      <c r="K180" s="9"/>
      <c r="L180" s="9"/>
      <c r="M180" s="9"/>
      <c r="N180" s="9"/>
      <c r="O180" s="9"/>
      <c r="P180" s="21" t="str">
        <f aca="false">IF(OR(A180="",LEFT(A180,2)="EX"),"",IF(AND(C180&lt;&gt;"",G180&lt;&gt;"",F180="Y",OR(I180="N",AND(I180="Y",ISNUMBER(J180)))),"Y","N"))</f>
        <v/>
      </c>
      <c r="Q180" s="22" t="str">
        <f aca="false">IF(P180="Y",IFERROR(INDEX(Questions!$D$5:$D$10,MATCH(G180,Questions!$A$5:$A$10,0)),1),"")</f>
        <v/>
      </c>
      <c r="R180" s="22" t="str">
        <f aca="false">IF(P180&lt;&gt;"Y","",IF(I180="N",0,INDEX(Settings!$B$15:$B$20,MATCH(MIN(J180,6),Settings!$A$15:$A$20,0))/Settings!$B$22*100))</f>
        <v/>
      </c>
      <c r="S180" s="22" t="str">
        <f aca="false">IF(P180="Y",R180*Q180,"")</f>
        <v/>
      </c>
    </row>
    <row r="181" customFormat="false" ht="15" hidden="false" customHeight="false" outlineLevel="0" collapsed="false">
      <c r="A181" s="9"/>
      <c r="B181" s="23"/>
      <c r="C181" s="9"/>
      <c r="D181" s="9"/>
      <c r="E181" s="9"/>
      <c r="F181" s="9"/>
      <c r="G181" s="9"/>
      <c r="H181" s="9"/>
      <c r="I181" s="9"/>
      <c r="J181" s="9"/>
      <c r="K181" s="9"/>
      <c r="L181" s="9"/>
      <c r="M181" s="9"/>
      <c r="N181" s="9"/>
      <c r="O181" s="9"/>
      <c r="P181" s="21" t="str">
        <f aca="false">IF(OR(A181="",LEFT(A181,2)="EX"),"",IF(AND(C181&lt;&gt;"",G181&lt;&gt;"",F181="Y",OR(I181="N",AND(I181="Y",ISNUMBER(J181)))),"Y","N"))</f>
        <v/>
      </c>
      <c r="Q181" s="22" t="str">
        <f aca="false">IF(P181="Y",IFERROR(INDEX(Questions!$D$5:$D$10,MATCH(G181,Questions!$A$5:$A$10,0)),1),"")</f>
        <v/>
      </c>
      <c r="R181" s="22" t="str">
        <f aca="false">IF(P181&lt;&gt;"Y","",IF(I181="N",0,INDEX(Settings!$B$15:$B$20,MATCH(MIN(J181,6),Settings!$A$15:$A$20,0))/Settings!$B$22*100))</f>
        <v/>
      </c>
      <c r="S181" s="22" t="str">
        <f aca="false">IF(P181="Y",R181*Q181,"")</f>
        <v/>
      </c>
    </row>
    <row r="182" customFormat="false" ht="15" hidden="false" customHeight="false" outlineLevel="0" collapsed="false">
      <c r="A182" s="9"/>
      <c r="B182" s="23"/>
      <c r="C182" s="9"/>
      <c r="D182" s="9"/>
      <c r="E182" s="9"/>
      <c r="F182" s="9"/>
      <c r="G182" s="9"/>
      <c r="H182" s="9"/>
      <c r="I182" s="9"/>
      <c r="J182" s="9"/>
      <c r="K182" s="9"/>
      <c r="L182" s="9"/>
      <c r="M182" s="9"/>
      <c r="N182" s="9"/>
      <c r="O182" s="9"/>
      <c r="P182" s="21" t="str">
        <f aca="false">IF(OR(A182="",LEFT(A182,2)="EX"),"",IF(AND(C182&lt;&gt;"",G182&lt;&gt;"",F182="Y",OR(I182="N",AND(I182="Y",ISNUMBER(J182)))),"Y","N"))</f>
        <v/>
      </c>
      <c r="Q182" s="22" t="str">
        <f aca="false">IF(P182="Y",IFERROR(INDEX(Questions!$D$5:$D$10,MATCH(G182,Questions!$A$5:$A$10,0)),1),"")</f>
        <v/>
      </c>
      <c r="R182" s="22" t="str">
        <f aca="false">IF(P182&lt;&gt;"Y","",IF(I182="N",0,INDEX(Settings!$B$15:$B$20,MATCH(MIN(J182,6),Settings!$A$15:$A$20,0))/Settings!$B$22*100))</f>
        <v/>
      </c>
      <c r="S182" s="22" t="str">
        <f aca="false">IF(P182="Y",R182*Q182,"")</f>
        <v/>
      </c>
    </row>
    <row r="183" customFormat="false" ht="15" hidden="false" customHeight="false" outlineLevel="0" collapsed="false">
      <c r="A183" s="9"/>
      <c r="B183" s="23"/>
      <c r="C183" s="9"/>
      <c r="D183" s="9"/>
      <c r="E183" s="9"/>
      <c r="F183" s="9"/>
      <c r="G183" s="9"/>
      <c r="H183" s="9"/>
      <c r="I183" s="9"/>
      <c r="J183" s="9"/>
      <c r="K183" s="9"/>
      <c r="L183" s="9"/>
      <c r="M183" s="9"/>
      <c r="N183" s="9"/>
      <c r="O183" s="9"/>
      <c r="P183" s="21" t="str">
        <f aca="false">IF(OR(A183="",LEFT(A183,2)="EX"),"",IF(AND(C183&lt;&gt;"",G183&lt;&gt;"",F183="Y",OR(I183="N",AND(I183="Y",ISNUMBER(J183)))),"Y","N"))</f>
        <v/>
      </c>
      <c r="Q183" s="22" t="str">
        <f aca="false">IF(P183="Y",IFERROR(INDEX(Questions!$D$5:$D$10,MATCH(G183,Questions!$A$5:$A$10,0)),1),"")</f>
        <v/>
      </c>
      <c r="R183" s="22" t="str">
        <f aca="false">IF(P183&lt;&gt;"Y","",IF(I183="N",0,INDEX(Settings!$B$15:$B$20,MATCH(MIN(J183,6),Settings!$A$15:$A$20,0))/Settings!$B$22*100))</f>
        <v/>
      </c>
      <c r="S183" s="22" t="str">
        <f aca="false">IF(P183="Y",R183*Q183,"")</f>
        <v/>
      </c>
    </row>
    <row r="184" customFormat="false" ht="15" hidden="false" customHeight="false" outlineLevel="0" collapsed="false">
      <c r="A184" s="9"/>
      <c r="B184" s="23"/>
      <c r="C184" s="9"/>
      <c r="D184" s="9"/>
      <c r="E184" s="9"/>
      <c r="F184" s="9"/>
      <c r="G184" s="9"/>
      <c r="H184" s="9"/>
      <c r="I184" s="9"/>
      <c r="J184" s="9"/>
      <c r="K184" s="9"/>
      <c r="L184" s="9"/>
      <c r="M184" s="9"/>
      <c r="N184" s="9"/>
      <c r="O184" s="9"/>
      <c r="P184" s="21" t="str">
        <f aca="false">IF(OR(A184="",LEFT(A184,2)="EX"),"",IF(AND(C184&lt;&gt;"",G184&lt;&gt;"",F184="Y",OR(I184="N",AND(I184="Y",ISNUMBER(J184)))),"Y","N"))</f>
        <v/>
      </c>
      <c r="Q184" s="22" t="str">
        <f aca="false">IF(P184="Y",IFERROR(INDEX(Questions!$D$5:$D$10,MATCH(G184,Questions!$A$5:$A$10,0)),1),"")</f>
        <v/>
      </c>
      <c r="R184" s="22" t="str">
        <f aca="false">IF(P184&lt;&gt;"Y","",IF(I184="N",0,INDEX(Settings!$B$15:$B$20,MATCH(MIN(J184,6),Settings!$A$15:$A$20,0))/Settings!$B$22*100))</f>
        <v/>
      </c>
      <c r="S184" s="22" t="str">
        <f aca="false">IF(P184="Y",R184*Q184,"")</f>
        <v/>
      </c>
    </row>
    <row r="185" customFormat="false" ht="15" hidden="false" customHeight="false" outlineLevel="0" collapsed="false">
      <c r="A185" s="9"/>
      <c r="B185" s="23"/>
      <c r="C185" s="9"/>
      <c r="D185" s="9"/>
      <c r="E185" s="9"/>
      <c r="F185" s="9"/>
      <c r="G185" s="9"/>
      <c r="H185" s="9"/>
      <c r="I185" s="9"/>
      <c r="J185" s="9"/>
      <c r="K185" s="9"/>
      <c r="L185" s="9"/>
      <c r="M185" s="9"/>
      <c r="N185" s="9"/>
      <c r="O185" s="9"/>
      <c r="P185" s="21" t="str">
        <f aca="false">IF(OR(A185="",LEFT(A185,2)="EX"),"",IF(AND(C185&lt;&gt;"",G185&lt;&gt;"",F185="Y",OR(I185="N",AND(I185="Y",ISNUMBER(J185)))),"Y","N"))</f>
        <v/>
      </c>
      <c r="Q185" s="22" t="str">
        <f aca="false">IF(P185="Y",IFERROR(INDEX(Questions!$D$5:$D$10,MATCH(G185,Questions!$A$5:$A$10,0)),1),"")</f>
        <v/>
      </c>
      <c r="R185" s="22" t="str">
        <f aca="false">IF(P185&lt;&gt;"Y","",IF(I185="N",0,INDEX(Settings!$B$15:$B$20,MATCH(MIN(J185,6),Settings!$A$15:$A$20,0))/Settings!$B$22*100))</f>
        <v/>
      </c>
      <c r="S185" s="22" t="str">
        <f aca="false">IF(P185="Y",R185*Q185,"")</f>
        <v/>
      </c>
    </row>
    <row r="186" customFormat="false" ht="15" hidden="false" customHeight="false" outlineLevel="0" collapsed="false">
      <c r="A186" s="9"/>
      <c r="B186" s="23"/>
      <c r="C186" s="9"/>
      <c r="D186" s="9"/>
      <c r="E186" s="9"/>
      <c r="F186" s="9"/>
      <c r="G186" s="9"/>
      <c r="H186" s="9"/>
      <c r="I186" s="9"/>
      <c r="J186" s="9"/>
      <c r="K186" s="9"/>
      <c r="L186" s="9"/>
      <c r="M186" s="9"/>
      <c r="N186" s="9"/>
      <c r="O186" s="9"/>
      <c r="P186" s="21" t="str">
        <f aca="false">IF(OR(A186="",LEFT(A186,2)="EX"),"",IF(AND(C186&lt;&gt;"",G186&lt;&gt;"",F186="Y",OR(I186="N",AND(I186="Y",ISNUMBER(J186)))),"Y","N"))</f>
        <v/>
      </c>
      <c r="Q186" s="22" t="str">
        <f aca="false">IF(P186="Y",IFERROR(INDEX(Questions!$D$5:$D$10,MATCH(G186,Questions!$A$5:$A$10,0)),1),"")</f>
        <v/>
      </c>
      <c r="R186" s="22" t="str">
        <f aca="false">IF(P186&lt;&gt;"Y","",IF(I186="N",0,INDEX(Settings!$B$15:$B$20,MATCH(MIN(J186,6),Settings!$A$15:$A$20,0))/Settings!$B$22*100))</f>
        <v/>
      </c>
      <c r="S186" s="22" t="str">
        <f aca="false">IF(P186="Y",R186*Q186,"")</f>
        <v/>
      </c>
    </row>
    <row r="187" customFormat="false" ht="15" hidden="false" customHeight="false" outlineLevel="0" collapsed="false">
      <c r="A187" s="9"/>
      <c r="B187" s="23"/>
      <c r="C187" s="9"/>
      <c r="D187" s="9"/>
      <c r="E187" s="9"/>
      <c r="F187" s="9"/>
      <c r="G187" s="9"/>
      <c r="H187" s="9"/>
      <c r="I187" s="9"/>
      <c r="J187" s="9"/>
      <c r="K187" s="9"/>
      <c r="L187" s="9"/>
      <c r="M187" s="9"/>
      <c r="N187" s="9"/>
      <c r="O187" s="9"/>
      <c r="P187" s="21" t="str">
        <f aca="false">IF(OR(A187="",LEFT(A187,2)="EX"),"",IF(AND(C187&lt;&gt;"",G187&lt;&gt;"",F187="Y",OR(I187="N",AND(I187="Y",ISNUMBER(J187)))),"Y","N"))</f>
        <v/>
      </c>
      <c r="Q187" s="22" t="str">
        <f aca="false">IF(P187="Y",IFERROR(INDEX(Questions!$D$5:$D$10,MATCH(G187,Questions!$A$5:$A$10,0)),1),"")</f>
        <v/>
      </c>
      <c r="R187" s="22" t="str">
        <f aca="false">IF(P187&lt;&gt;"Y","",IF(I187="N",0,INDEX(Settings!$B$15:$B$20,MATCH(MIN(J187,6),Settings!$A$15:$A$20,0))/Settings!$B$22*100))</f>
        <v/>
      </c>
      <c r="S187" s="22" t="str">
        <f aca="false">IF(P187="Y",R187*Q187,"")</f>
        <v/>
      </c>
    </row>
    <row r="188" customFormat="false" ht="15" hidden="false" customHeight="false" outlineLevel="0" collapsed="false">
      <c r="A188" s="9"/>
      <c r="B188" s="23"/>
      <c r="C188" s="9"/>
      <c r="D188" s="9"/>
      <c r="E188" s="9"/>
      <c r="F188" s="9"/>
      <c r="G188" s="9"/>
      <c r="H188" s="9"/>
      <c r="I188" s="9"/>
      <c r="J188" s="9"/>
      <c r="K188" s="9"/>
      <c r="L188" s="9"/>
      <c r="M188" s="9"/>
      <c r="N188" s="9"/>
      <c r="O188" s="9"/>
      <c r="P188" s="21" t="str">
        <f aca="false">IF(OR(A188="",LEFT(A188,2)="EX"),"",IF(AND(C188&lt;&gt;"",G188&lt;&gt;"",F188="Y",OR(I188="N",AND(I188="Y",ISNUMBER(J188)))),"Y","N"))</f>
        <v/>
      </c>
      <c r="Q188" s="22" t="str">
        <f aca="false">IF(P188="Y",IFERROR(INDEX(Questions!$D$5:$D$10,MATCH(G188,Questions!$A$5:$A$10,0)),1),"")</f>
        <v/>
      </c>
      <c r="R188" s="22" t="str">
        <f aca="false">IF(P188&lt;&gt;"Y","",IF(I188="N",0,INDEX(Settings!$B$15:$B$20,MATCH(MIN(J188,6),Settings!$A$15:$A$20,0))/Settings!$B$22*100))</f>
        <v/>
      </c>
      <c r="S188" s="22" t="str">
        <f aca="false">IF(P188="Y",R188*Q188,"")</f>
        <v/>
      </c>
    </row>
    <row r="189" customFormat="false" ht="15" hidden="false" customHeight="false" outlineLevel="0" collapsed="false">
      <c r="A189" s="9"/>
      <c r="B189" s="23"/>
      <c r="C189" s="9"/>
      <c r="D189" s="9"/>
      <c r="E189" s="9"/>
      <c r="F189" s="9"/>
      <c r="G189" s="9"/>
      <c r="H189" s="9"/>
      <c r="I189" s="9"/>
      <c r="J189" s="9"/>
      <c r="K189" s="9"/>
      <c r="L189" s="9"/>
      <c r="M189" s="9"/>
      <c r="N189" s="9"/>
      <c r="O189" s="9"/>
      <c r="P189" s="21" t="str">
        <f aca="false">IF(OR(A189="",LEFT(A189,2)="EX"),"",IF(AND(C189&lt;&gt;"",G189&lt;&gt;"",F189="Y",OR(I189="N",AND(I189="Y",ISNUMBER(J189)))),"Y","N"))</f>
        <v/>
      </c>
      <c r="Q189" s="22" t="str">
        <f aca="false">IF(P189="Y",IFERROR(INDEX(Questions!$D$5:$D$10,MATCH(G189,Questions!$A$5:$A$10,0)),1),"")</f>
        <v/>
      </c>
      <c r="R189" s="22" t="str">
        <f aca="false">IF(P189&lt;&gt;"Y","",IF(I189="N",0,INDEX(Settings!$B$15:$B$20,MATCH(MIN(J189,6),Settings!$A$15:$A$20,0))/Settings!$B$22*100))</f>
        <v/>
      </c>
      <c r="S189" s="22" t="str">
        <f aca="false">IF(P189="Y",R189*Q189,"")</f>
        <v/>
      </c>
    </row>
    <row r="190" customFormat="false" ht="15" hidden="false" customHeight="false" outlineLevel="0" collapsed="false">
      <c r="A190" s="9"/>
      <c r="B190" s="23"/>
      <c r="C190" s="9"/>
      <c r="D190" s="9"/>
      <c r="E190" s="9"/>
      <c r="F190" s="9"/>
      <c r="G190" s="9"/>
      <c r="H190" s="9"/>
      <c r="I190" s="9"/>
      <c r="J190" s="9"/>
      <c r="K190" s="9"/>
      <c r="L190" s="9"/>
      <c r="M190" s="9"/>
      <c r="N190" s="9"/>
      <c r="O190" s="9"/>
      <c r="P190" s="21" t="str">
        <f aca="false">IF(OR(A190="",LEFT(A190,2)="EX"),"",IF(AND(C190&lt;&gt;"",G190&lt;&gt;"",F190="Y",OR(I190="N",AND(I190="Y",ISNUMBER(J190)))),"Y","N"))</f>
        <v/>
      </c>
      <c r="Q190" s="22" t="str">
        <f aca="false">IF(P190="Y",IFERROR(INDEX(Questions!$D$5:$D$10,MATCH(G190,Questions!$A$5:$A$10,0)),1),"")</f>
        <v/>
      </c>
      <c r="R190" s="22" t="str">
        <f aca="false">IF(P190&lt;&gt;"Y","",IF(I190="N",0,INDEX(Settings!$B$15:$B$20,MATCH(MIN(J190,6),Settings!$A$15:$A$20,0))/Settings!$B$22*100))</f>
        <v/>
      </c>
      <c r="S190" s="22" t="str">
        <f aca="false">IF(P190="Y",R190*Q190,"")</f>
        <v/>
      </c>
    </row>
    <row r="191" customFormat="false" ht="15" hidden="false" customHeight="false" outlineLevel="0" collapsed="false">
      <c r="A191" s="9"/>
      <c r="B191" s="23"/>
      <c r="C191" s="9"/>
      <c r="D191" s="9"/>
      <c r="E191" s="9"/>
      <c r="F191" s="9"/>
      <c r="G191" s="9"/>
      <c r="H191" s="9"/>
      <c r="I191" s="9"/>
      <c r="J191" s="9"/>
      <c r="K191" s="9"/>
      <c r="L191" s="9"/>
      <c r="M191" s="9"/>
      <c r="N191" s="9"/>
      <c r="O191" s="9"/>
      <c r="P191" s="21" t="str">
        <f aca="false">IF(OR(A191="",LEFT(A191,2)="EX"),"",IF(AND(C191&lt;&gt;"",G191&lt;&gt;"",F191="Y",OR(I191="N",AND(I191="Y",ISNUMBER(J191)))),"Y","N"))</f>
        <v/>
      </c>
      <c r="Q191" s="22" t="str">
        <f aca="false">IF(P191="Y",IFERROR(INDEX(Questions!$D$5:$D$10,MATCH(G191,Questions!$A$5:$A$10,0)),1),"")</f>
        <v/>
      </c>
      <c r="R191" s="22" t="str">
        <f aca="false">IF(P191&lt;&gt;"Y","",IF(I191="N",0,INDEX(Settings!$B$15:$B$20,MATCH(MIN(J191,6),Settings!$A$15:$A$20,0))/Settings!$B$22*100))</f>
        <v/>
      </c>
      <c r="S191" s="22" t="str">
        <f aca="false">IF(P191="Y",R191*Q191,"")</f>
        <v/>
      </c>
    </row>
    <row r="192" customFormat="false" ht="15" hidden="false" customHeight="false" outlineLevel="0" collapsed="false">
      <c r="A192" s="9"/>
      <c r="B192" s="23"/>
      <c r="C192" s="9"/>
      <c r="D192" s="9"/>
      <c r="E192" s="9"/>
      <c r="F192" s="9"/>
      <c r="G192" s="9"/>
      <c r="H192" s="9"/>
      <c r="I192" s="9"/>
      <c r="J192" s="9"/>
      <c r="K192" s="9"/>
      <c r="L192" s="9"/>
      <c r="M192" s="9"/>
      <c r="N192" s="9"/>
      <c r="O192" s="9"/>
      <c r="P192" s="21" t="str">
        <f aca="false">IF(OR(A192="",LEFT(A192,2)="EX"),"",IF(AND(C192&lt;&gt;"",G192&lt;&gt;"",F192="Y",OR(I192="N",AND(I192="Y",ISNUMBER(J192)))),"Y","N"))</f>
        <v/>
      </c>
      <c r="Q192" s="22" t="str">
        <f aca="false">IF(P192="Y",IFERROR(INDEX(Questions!$D$5:$D$10,MATCH(G192,Questions!$A$5:$A$10,0)),1),"")</f>
        <v/>
      </c>
      <c r="R192" s="22" t="str">
        <f aca="false">IF(P192&lt;&gt;"Y","",IF(I192="N",0,INDEX(Settings!$B$15:$B$20,MATCH(MIN(J192,6),Settings!$A$15:$A$20,0))/Settings!$B$22*100))</f>
        <v/>
      </c>
      <c r="S192" s="22" t="str">
        <f aca="false">IF(P192="Y",R192*Q192,"")</f>
        <v/>
      </c>
    </row>
    <row r="193" customFormat="false" ht="15" hidden="false" customHeight="false" outlineLevel="0" collapsed="false">
      <c r="A193" s="9"/>
      <c r="B193" s="23"/>
      <c r="C193" s="9"/>
      <c r="D193" s="9"/>
      <c r="E193" s="9"/>
      <c r="F193" s="9"/>
      <c r="G193" s="9"/>
      <c r="H193" s="9"/>
      <c r="I193" s="9"/>
      <c r="J193" s="9"/>
      <c r="K193" s="9"/>
      <c r="L193" s="9"/>
      <c r="M193" s="9"/>
      <c r="N193" s="9"/>
      <c r="O193" s="9"/>
      <c r="P193" s="21" t="str">
        <f aca="false">IF(OR(A193="",LEFT(A193,2)="EX"),"",IF(AND(C193&lt;&gt;"",G193&lt;&gt;"",F193="Y",OR(I193="N",AND(I193="Y",ISNUMBER(J193)))),"Y","N"))</f>
        <v/>
      </c>
      <c r="Q193" s="22" t="str">
        <f aca="false">IF(P193="Y",IFERROR(INDEX(Questions!$D$5:$D$10,MATCH(G193,Questions!$A$5:$A$10,0)),1),"")</f>
        <v/>
      </c>
      <c r="R193" s="22" t="str">
        <f aca="false">IF(P193&lt;&gt;"Y","",IF(I193="N",0,INDEX(Settings!$B$15:$B$20,MATCH(MIN(J193,6),Settings!$A$15:$A$20,0))/Settings!$B$22*100))</f>
        <v/>
      </c>
      <c r="S193" s="22" t="str">
        <f aca="false">IF(P193="Y",R193*Q193,"")</f>
        <v/>
      </c>
    </row>
    <row r="194" customFormat="false" ht="15" hidden="false" customHeight="false" outlineLevel="0" collapsed="false">
      <c r="A194" s="9"/>
      <c r="B194" s="23"/>
      <c r="C194" s="9"/>
      <c r="D194" s="9"/>
      <c r="E194" s="9"/>
      <c r="F194" s="9"/>
      <c r="G194" s="9"/>
      <c r="H194" s="9"/>
      <c r="I194" s="9"/>
      <c r="J194" s="9"/>
      <c r="K194" s="9"/>
      <c r="L194" s="9"/>
      <c r="M194" s="9"/>
      <c r="N194" s="9"/>
      <c r="O194" s="9"/>
      <c r="P194" s="21" t="str">
        <f aca="false">IF(OR(A194="",LEFT(A194,2)="EX"),"",IF(AND(C194&lt;&gt;"",G194&lt;&gt;"",F194="Y",OR(I194="N",AND(I194="Y",ISNUMBER(J194)))),"Y","N"))</f>
        <v/>
      </c>
      <c r="Q194" s="22" t="str">
        <f aca="false">IF(P194="Y",IFERROR(INDEX(Questions!$D$5:$D$10,MATCH(G194,Questions!$A$5:$A$10,0)),1),"")</f>
        <v/>
      </c>
      <c r="R194" s="22" t="str">
        <f aca="false">IF(P194&lt;&gt;"Y","",IF(I194="N",0,INDEX(Settings!$B$15:$B$20,MATCH(MIN(J194,6),Settings!$A$15:$A$20,0))/Settings!$B$22*100))</f>
        <v/>
      </c>
      <c r="S194" s="22" t="str">
        <f aca="false">IF(P194="Y",R194*Q194,"")</f>
        <v/>
      </c>
    </row>
    <row r="195" customFormat="false" ht="15" hidden="false" customHeight="false" outlineLevel="0" collapsed="false">
      <c r="A195" s="9"/>
      <c r="B195" s="23"/>
      <c r="C195" s="9"/>
      <c r="D195" s="9"/>
      <c r="E195" s="9"/>
      <c r="F195" s="9"/>
      <c r="G195" s="9"/>
      <c r="H195" s="9"/>
      <c r="I195" s="9"/>
      <c r="J195" s="9"/>
      <c r="K195" s="9"/>
      <c r="L195" s="9"/>
      <c r="M195" s="9"/>
      <c r="N195" s="9"/>
      <c r="O195" s="9"/>
      <c r="P195" s="21" t="str">
        <f aca="false">IF(OR(A195="",LEFT(A195,2)="EX"),"",IF(AND(C195&lt;&gt;"",G195&lt;&gt;"",F195="Y",OR(I195="N",AND(I195="Y",ISNUMBER(J195)))),"Y","N"))</f>
        <v/>
      </c>
      <c r="Q195" s="22" t="str">
        <f aca="false">IF(P195="Y",IFERROR(INDEX(Questions!$D$5:$D$10,MATCH(G195,Questions!$A$5:$A$10,0)),1),"")</f>
        <v/>
      </c>
      <c r="R195" s="22" t="str">
        <f aca="false">IF(P195&lt;&gt;"Y","",IF(I195="N",0,INDEX(Settings!$B$15:$B$20,MATCH(MIN(J195,6),Settings!$A$15:$A$20,0))/Settings!$B$22*100))</f>
        <v/>
      </c>
      <c r="S195" s="22" t="str">
        <f aca="false">IF(P195="Y",R195*Q195,"")</f>
        <v/>
      </c>
    </row>
    <row r="196" customFormat="false" ht="15" hidden="false" customHeight="false" outlineLevel="0" collapsed="false">
      <c r="A196" s="9"/>
      <c r="B196" s="23"/>
      <c r="C196" s="9"/>
      <c r="D196" s="9"/>
      <c r="E196" s="9"/>
      <c r="F196" s="9"/>
      <c r="G196" s="9"/>
      <c r="H196" s="9"/>
      <c r="I196" s="9"/>
      <c r="J196" s="9"/>
      <c r="K196" s="9"/>
      <c r="L196" s="9"/>
      <c r="M196" s="9"/>
      <c r="N196" s="9"/>
      <c r="O196" s="9"/>
      <c r="P196" s="21" t="str">
        <f aca="false">IF(OR(A196="",LEFT(A196,2)="EX"),"",IF(AND(C196&lt;&gt;"",G196&lt;&gt;"",F196="Y",OR(I196="N",AND(I196="Y",ISNUMBER(J196)))),"Y","N"))</f>
        <v/>
      </c>
      <c r="Q196" s="22" t="str">
        <f aca="false">IF(P196="Y",IFERROR(INDEX(Questions!$D$5:$D$10,MATCH(G196,Questions!$A$5:$A$10,0)),1),"")</f>
        <v/>
      </c>
      <c r="R196" s="22" t="str">
        <f aca="false">IF(P196&lt;&gt;"Y","",IF(I196="N",0,INDEX(Settings!$B$15:$B$20,MATCH(MIN(J196,6),Settings!$A$15:$A$20,0))/Settings!$B$22*100))</f>
        <v/>
      </c>
      <c r="S196" s="22" t="str">
        <f aca="false">IF(P196="Y",R196*Q196,"")</f>
        <v/>
      </c>
    </row>
    <row r="197" customFormat="false" ht="15" hidden="false" customHeight="false" outlineLevel="0" collapsed="false">
      <c r="A197" s="9"/>
      <c r="B197" s="23"/>
      <c r="C197" s="9"/>
      <c r="D197" s="9"/>
      <c r="E197" s="9"/>
      <c r="F197" s="9"/>
      <c r="G197" s="9"/>
      <c r="H197" s="9"/>
      <c r="I197" s="9"/>
      <c r="J197" s="9"/>
      <c r="K197" s="9"/>
      <c r="L197" s="9"/>
      <c r="M197" s="9"/>
      <c r="N197" s="9"/>
      <c r="O197" s="9"/>
      <c r="P197" s="21" t="str">
        <f aca="false">IF(OR(A197="",LEFT(A197,2)="EX"),"",IF(AND(C197&lt;&gt;"",G197&lt;&gt;"",F197="Y",OR(I197="N",AND(I197="Y",ISNUMBER(J197)))),"Y","N"))</f>
        <v/>
      </c>
      <c r="Q197" s="22" t="str">
        <f aca="false">IF(P197="Y",IFERROR(INDEX(Questions!$D$5:$D$10,MATCH(G197,Questions!$A$5:$A$10,0)),1),"")</f>
        <v/>
      </c>
      <c r="R197" s="22" t="str">
        <f aca="false">IF(P197&lt;&gt;"Y","",IF(I197="N",0,INDEX(Settings!$B$15:$B$20,MATCH(MIN(J197,6),Settings!$A$15:$A$20,0))/Settings!$B$22*100))</f>
        <v/>
      </c>
      <c r="S197" s="22" t="str">
        <f aca="false">IF(P197="Y",R197*Q197,"")</f>
        <v/>
      </c>
    </row>
    <row r="198" customFormat="false" ht="15" hidden="false" customHeight="false" outlineLevel="0" collapsed="false">
      <c r="A198" s="9"/>
      <c r="B198" s="23"/>
      <c r="C198" s="9"/>
      <c r="D198" s="9"/>
      <c r="E198" s="9"/>
      <c r="F198" s="9"/>
      <c r="G198" s="9"/>
      <c r="H198" s="9"/>
      <c r="I198" s="9"/>
      <c r="J198" s="9"/>
      <c r="K198" s="9"/>
      <c r="L198" s="9"/>
      <c r="M198" s="9"/>
      <c r="N198" s="9"/>
      <c r="O198" s="9"/>
      <c r="P198" s="21" t="str">
        <f aca="false">IF(OR(A198="",LEFT(A198,2)="EX"),"",IF(AND(C198&lt;&gt;"",G198&lt;&gt;"",F198="Y",OR(I198="N",AND(I198="Y",ISNUMBER(J198)))),"Y","N"))</f>
        <v/>
      </c>
      <c r="Q198" s="22" t="str">
        <f aca="false">IF(P198="Y",IFERROR(INDEX(Questions!$D$5:$D$10,MATCH(G198,Questions!$A$5:$A$10,0)),1),"")</f>
        <v/>
      </c>
      <c r="R198" s="22" t="str">
        <f aca="false">IF(P198&lt;&gt;"Y","",IF(I198="N",0,INDEX(Settings!$B$15:$B$20,MATCH(MIN(J198,6),Settings!$A$15:$A$20,0))/Settings!$B$22*100))</f>
        <v/>
      </c>
      <c r="S198" s="22" t="str">
        <f aca="false">IF(P198="Y",R198*Q198,"")</f>
        <v/>
      </c>
    </row>
    <row r="199" customFormat="false" ht="15" hidden="false" customHeight="false" outlineLevel="0" collapsed="false">
      <c r="A199" s="9"/>
      <c r="B199" s="23"/>
      <c r="C199" s="9"/>
      <c r="D199" s="9"/>
      <c r="E199" s="9"/>
      <c r="F199" s="9"/>
      <c r="G199" s="9"/>
      <c r="H199" s="9"/>
      <c r="I199" s="9"/>
      <c r="J199" s="9"/>
      <c r="K199" s="9"/>
      <c r="L199" s="9"/>
      <c r="M199" s="9"/>
      <c r="N199" s="9"/>
      <c r="O199" s="9"/>
      <c r="P199" s="21" t="str">
        <f aca="false">IF(OR(A199="",LEFT(A199,2)="EX"),"",IF(AND(C199&lt;&gt;"",G199&lt;&gt;"",F199="Y",OR(I199="N",AND(I199="Y",ISNUMBER(J199)))),"Y","N"))</f>
        <v/>
      </c>
      <c r="Q199" s="22" t="str">
        <f aca="false">IF(P199="Y",IFERROR(INDEX(Questions!$D$5:$D$10,MATCH(G199,Questions!$A$5:$A$10,0)),1),"")</f>
        <v/>
      </c>
      <c r="R199" s="22" t="str">
        <f aca="false">IF(P199&lt;&gt;"Y","",IF(I199="N",0,INDEX(Settings!$B$15:$B$20,MATCH(MIN(J199,6),Settings!$A$15:$A$20,0))/Settings!$B$22*100))</f>
        <v/>
      </c>
      <c r="S199" s="22" t="str">
        <f aca="false">IF(P199="Y",R199*Q199,"")</f>
        <v/>
      </c>
    </row>
    <row r="200" customFormat="false" ht="15" hidden="false" customHeight="false" outlineLevel="0" collapsed="false">
      <c r="A200" s="9"/>
      <c r="B200" s="23"/>
      <c r="C200" s="9"/>
      <c r="D200" s="9"/>
      <c r="E200" s="9"/>
      <c r="F200" s="9"/>
      <c r="G200" s="9"/>
      <c r="H200" s="9"/>
      <c r="I200" s="9"/>
      <c r="J200" s="9"/>
      <c r="K200" s="9"/>
      <c r="L200" s="9"/>
      <c r="M200" s="9"/>
      <c r="N200" s="9"/>
      <c r="O200" s="9"/>
      <c r="P200" s="21" t="str">
        <f aca="false">IF(OR(A200="",LEFT(A200,2)="EX"),"",IF(AND(C200&lt;&gt;"",G200&lt;&gt;"",F200="Y",OR(I200="N",AND(I200="Y",ISNUMBER(J200)))),"Y","N"))</f>
        <v/>
      </c>
      <c r="Q200" s="22" t="str">
        <f aca="false">IF(P200="Y",IFERROR(INDEX(Questions!$D$5:$D$10,MATCH(G200,Questions!$A$5:$A$10,0)),1),"")</f>
        <v/>
      </c>
      <c r="R200" s="22" t="str">
        <f aca="false">IF(P200&lt;&gt;"Y","",IF(I200="N",0,INDEX(Settings!$B$15:$B$20,MATCH(MIN(J200,6),Settings!$A$15:$A$20,0))/Settings!$B$22*100))</f>
        <v/>
      </c>
      <c r="S200" s="22" t="str">
        <f aca="false">IF(P200="Y",R200*Q200,"")</f>
        <v/>
      </c>
    </row>
    <row r="201" customFormat="false" ht="15" hidden="false" customHeight="false" outlineLevel="0" collapsed="false">
      <c r="A201" s="9"/>
      <c r="B201" s="23"/>
      <c r="C201" s="9"/>
      <c r="D201" s="9"/>
      <c r="E201" s="9"/>
      <c r="F201" s="9"/>
      <c r="G201" s="9"/>
      <c r="H201" s="9"/>
      <c r="I201" s="9"/>
      <c r="J201" s="9"/>
      <c r="K201" s="9"/>
      <c r="L201" s="9"/>
      <c r="M201" s="9"/>
      <c r="N201" s="9"/>
      <c r="O201" s="9"/>
      <c r="P201" s="21" t="str">
        <f aca="false">IF(OR(A201="",LEFT(A201,2)="EX"),"",IF(AND(C201&lt;&gt;"",G201&lt;&gt;"",F201="Y",OR(I201="N",AND(I201="Y",ISNUMBER(J201)))),"Y","N"))</f>
        <v/>
      </c>
      <c r="Q201" s="22" t="str">
        <f aca="false">IF(P201="Y",IFERROR(INDEX(Questions!$D$5:$D$10,MATCH(G201,Questions!$A$5:$A$10,0)),1),"")</f>
        <v/>
      </c>
      <c r="R201" s="22" t="str">
        <f aca="false">IF(P201&lt;&gt;"Y","",IF(I201="N",0,INDEX(Settings!$B$15:$B$20,MATCH(MIN(J201,6),Settings!$A$15:$A$20,0))/Settings!$B$22*100))</f>
        <v/>
      </c>
      <c r="S201" s="22" t="str">
        <f aca="false">IF(P201="Y",R201*Q201,"")</f>
        <v/>
      </c>
    </row>
    <row r="202" customFormat="false" ht="15" hidden="false" customHeight="false" outlineLevel="0" collapsed="false">
      <c r="A202" s="9"/>
      <c r="B202" s="23"/>
      <c r="C202" s="9"/>
      <c r="D202" s="9"/>
      <c r="E202" s="9"/>
      <c r="F202" s="9"/>
      <c r="G202" s="9"/>
      <c r="H202" s="9"/>
      <c r="I202" s="9"/>
      <c r="J202" s="9"/>
      <c r="K202" s="9"/>
      <c r="L202" s="9"/>
      <c r="M202" s="9"/>
      <c r="N202" s="9"/>
      <c r="O202" s="9"/>
      <c r="P202" s="21" t="str">
        <f aca="false">IF(OR(A202="",LEFT(A202,2)="EX"),"",IF(AND(C202&lt;&gt;"",G202&lt;&gt;"",F202="Y",OR(I202="N",AND(I202="Y",ISNUMBER(J202)))),"Y","N"))</f>
        <v/>
      </c>
      <c r="Q202" s="22" t="str">
        <f aca="false">IF(P202="Y",IFERROR(INDEX(Questions!$D$5:$D$10,MATCH(G202,Questions!$A$5:$A$10,0)),1),"")</f>
        <v/>
      </c>
      <c r="R202" s="22" t="str">
        <f aca="false">IF(P202&lt;&gt;"Y","",IF(I202="N",0,INDEX(Settings!$B$15:$B$20,MATCH(MIN(J202,6),Settings!$A$15:$A$20,0))/Settings!$B$22*100))</f>
        <v/>
      </c>
      <c r="S202" s="22" t="str">
        <f aca="false">IF(P202="Y",R202*Q202,"")</f>
        <v/>
      </c>
    </row>
    <row r="203" customFormat="false" ht="15" hidden="false" customHeight="false" outlineLevel="0" collapsed="false">
      <c r="A203" s="9"/>
      <c r="B203" s="23"/>
      <c r="C203" s="9"/>
      <c r="D203" s="9"/>
      <c r="E203" s="9"/>
      <c r="F203" s="9"/>
      <c r="G203" s="9"/>
      <c r="H203" s="9"/>
      <c r="I203" s="9"/>
      <c r="J203" s="9"/>
      <c r="K203" s="9"/>
      <c r="L203" s="9"/>
      <c r="M203" s="9"/>
      <c r="N203" s="9"/>
      <c r="O203" s="9"/>
      <c r="P203" s="21" t="str">
        <f aca="false">IF(OR(A203="",LEFT(A203,2)="EX"),"",IF(AND(C203&lt;&gt;"",G203&lt;&gt;"",F203="Y",OR(I203="N",AND(I203="Y",ISNUMBER(J203)))),"Y","N"))</f>
        <v/>
      </c>
      <c r="Q203" s="22" t="str">
        <f aca="false">IF(P203="Y",IFERROR(INDEX(Questions!$D$5:$D$10,MATCH(G203,Questions!$A$5:$A$10,0)),1),"")</f>
        <v/>
      </c>
      <c r="R203" s="22" t="str">
        <f aca="false">IF(P203&lt;&gt;"Y","",IF(I203="N",0,INDEX(Settings!$B$15:$B$20,MATCH(MIN(J203,6),Settings!$A$15:$A$20,0))/Settings!$B$22*100))</f>
        <v/>
      </c>
      <c r="S203" s="22" t="str">
        <f aca="false">IF(P203="Y",R203*Q203,"")</f>
        <v/>
      </c>
    </row>
    <row r="204" customFormat="false" ht="15" hidden="false" customHeight="false" outlineLevel="0" collapsed="false">
      <c r="A204" s="9"/>
      <c r="B204" s="23"/>
      <c r="C204" s="9"/>
      <c r="D204" s="9"/>
      <c r="E204" s="9"/>
      <c r="F204" s="9"/>
      <c r="G204" s="9"/>
      <c r="H204" s="9"/>
      <c r="I204" s="9"/>
      <c r="J204" s="9"/>
      <c r="K204" s="9"/>
      <c r="L204" s="9"/>
      <c r="M204" s="9"/>
      <c r="N204" s="9"/>
      <c r="O204" s="9"/>
      <c r="P204" s="21" t="str">
        <f aca="false">IF(OR(A204="",LEFT(A204,2)="EX"),"",IF(AND(C204&lt;&gt;"",G204&lt;&gt;"",F204="Y",OR(I204="N",AND(I204="Y",ISNUMBER(J204)))),"Y","N"))</f>
        <v/>
      </c>
      <c r="Q204" s="22" t="str">
        <f aca="false">IF(P204="Y",IFERROR(INDEX(Questions!$D$5:$D$10,MATCH(G204,Questions!$A$5:$A$10,0)),1),"")</f>
        <v/>
      </c>
      <c r="R204" s="22" t="str">
        <f aca="false">IF(P204&lt;&gt;"Y","",IF(I204="N",0,INDEX(Settings!$B$15:$B$20,MATCH(MIN(J204,6),Settings!$A$15:$A$20,0))/Settings!$B$22*100))</f>
        <v/>
      </c>
      <c r="S204" s="22" t="str">
        <f aca="false">IF(P204="Y",R204*Q204,"")</f>
        <v/>
      </c>
    </row>
    <row r="205" customFormat="false" ht="15" hidden="false" customHeight="false" outlineLevel="0" collapsed="false">
      <c r="A205" s="9"/>
      <c r="B205" s="23"/>
      <c r="C205" s="9"/>
      <c r="D205" s="9"/>
      <c r="E205" s="9"/>
      <c r="F205" s="9"/>
      <c r="G205" s="9"/>
      <c r="H205" s="9"/>
      <c r="I205" s="9"/>
      <c r="J205" s="9"/>
      <c r="K205" s="9"/>
      <c r="L205" s="9"/>
      <c r="M205" s="9"/>
      <c r="N205" s="9"/>
      <c r="O205" s="9"/>
      <c r="P205" s="21" t="str">
        <f aca="false">IF(OR(A205="",LEFT(A205,2)="EX"),"",IF(AND(C205&lt;&gt;"",G205&lt;&gt;"",F205="Y",OR(I205="N",AND(I205="Y",ISNUMBER(J205)))),"Y","N"))</f>
        <v/>
      </c>
      <c r="Q205" s="22" t="str">
        <f aca="false">IF(P205="Y",IFERROR(INDEX(Questions!$D$5:$D$10,MATCH(G205,Questions!$A$5:$A$10,0)),1),"")</f>
        <v/>
      </c>
      <c r="R205" s="22" t="str">
        <f aca="false">IF(P205&lt;&gt;"Y","",IF(I205="N",0,INDEX(Settings!$B$15:$B$20,MATCH(MIN(J205,6),Settings!$A$15:$A$20,0))/Settings!$B$22*100))</f>
        <v/>
      </c>
      <c r="S205" s="22" t="str">
        <f aca="false">IF(P205="Y",R205*Q205,"")</f>
        <v/>
      </c>
    </row>
  </sheetData>
  <conditionalFormatting sqref="P6:P205">
    <cfRule type="cellIs" priority="2" operator="equal" aboveAverage="0" equalAverage="0" bottom="0" percent="0" rank="0" text="" dxfId="0">
      <formula>"N"</formula>
    </cfRule>
  </conditionalFormatting>
  <dataValidations count="4">
    <dataValidation allowBlank="true" error="Enter Y or N" errorStyle="stop" errorTitle="Y or N" operator="between" showDropDown="false" showErrorMessage="true" showInputMessage="false" sqref="E6:F205 I6:I205" type="list">
      <formula1>"Y,N"</formula1>
      <formula2>0</formula2>
    </dataValidation>
    <dataValidation allowBlank="true" error="Pick an engine listed on the Engines tab" errorStyle="stop" operator="between" showDropDown="false" showErrorMessage="true" showInputMessage="false" sqref="C6:C205" type="list">
      <formula1>Engines!$A$5:$A$12</formula1>
      <formula2>0</formula2>
    </dataValidation>
    <dataValidation allowBlank="true" error="Pick a question ID from the Questions tab" errorStyle="stop" operator="between" showDropDown="false" showErrorMessage="true" showInputMessage="false" sqref="G6:G205" type="list">
      <formula1>Questions!$A$5:$A$10</formula1>
      <formula2>0</formula2>
    </dataValidation>
    <dataValidation allowBlank="true" error="Whole number from 1 to 50" errorStyle="stop" operator="between" showDropDown="false" showErrorMessage="true" showInputMessage="false" sqref="J6:K205" type="whole">
      <formula1>1</formula1>
      <formula2>50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7" min="2" style="0" width="11"/>
    <col collapsed="false" customWidth="true" hidden="false" outlineLevel="0" max="9" min="8" style="0" width="12"/>
    <col collapsed="false" customWidth="true" hidden="false" outlineLevel="0" max="10" min="10" style="0" width="11"/>
    <col collapsed="false" customWidth="true" hidden="false" outlineLevel="0" max="11" min="11" style="0" width="20"/>
    <col collapsed="false" customWidth="true" hidden="false" outlineLevel="0" max="13" min="12" style="0" width="12"/>
  </cols>
  <sheetData>
    <row r="1" customFormat="false" ht="17.35" hidden="false" customHeight="false" outlineLevel="0" collapsed="false">
      <c r="A1" s="1" t="s">
        <v>137</v>
      </c>
    </row>
    <row r="2" customFormat="false" ht="15" hidden="false" customHeight="false" outlineLevel="0" collapsed="false">
      <c r="A2" s="2" t="s">
        <v>138</v>
      </c>
    </row>
    <row r="4" customFormat="false" ht="15" hidden="false" customHeight="false" outlineLevel="0" collapsed="false">
      <c r="A4" s="24" t="s">
        <v>139</v>
      </c>
      <c r="B4" s="25" t="str">
        <f aca="false">Settings!B4</f>
        <v>October 2026</v>
      </c>
      <c r="C4" s="25"/>
      <c r="D4" s="25"/>
      <c r="E4" s="25"/>
    </row>
    <row r="5" customFormat="false" ht="15" hidden="false" customHeight="false" outlineLevel="0" collapsed="false">
      <c r="A5" s="24" t="s">
        <v>140</v>
      </c>
      <c r="B5" s="26" t="n">
        <f aca="false">COUNTIF(J15:J22,"Y")</f>
        <v>0</v>
      </c>
      <c r="C5" s="26"/>
      <c r="D5" s="26"/>
      <c r="E5" s="26"/>
    </row>
    <row r="6" customFormat="false" ht="15" hidden="false" customHeight="false" outlineLevel="0" collapsed="false">
      <c r="A6" s="24" t="s">
        <v>141</v>
      </c>
      <c r="B6" s="26" t="n">
        <f aca="false">COUNTIF(K15:K22,"First")</f>
        <v>0</v>
      </c>
      <c r="C6" s="26"/>
      <c r="D6" s="26"/>
      <c r="E6" s="26"/>
    </row>
    <row r="7" customFormat="false" ht="15" hidden="false" customHeight="false" outlineLevel="0" collapsed="false">
      <c r="A7" s="24" t="s">
        <v>142</v>
      </c>
      <c r="B7" s="26" t="n">
        <f aca="false">B6+COUNTIF(K15:K22,"Top 2")</f>
        <v>0</v>
      </c>
      <c r="C7" s="26"/>
      <c r="D7" s="26"/>
      <c r="E7" s="26"/>
    </row>
    <row r="8" customFormat="false" ht="15" hidden="false" customHeight="false" outlineLevel="0" collapsed="false">
      <c r="A8" s="24" t="s">
        <v>143</v>
      </c>
      <c r="B8" s="27" t="str">
        <f aca="false">IFERROR(SUM(L15:L22)/SUM(M15:M22),"")</f>
        <v/>
      </c>
      <c r="C8" s="27"/>
      <c r="D8" s="27"/>
      <c r="E8" s="27"/>
    </row>
    <row r="9" customFormat="false" ht="15" hidden="false" customHeight="false" outlineLevel="0" collapsed="false">
      <c r="A9" s="24" t="s">
        <v>144</v>
      </c>
      <c r="B9" s="25" t="str">
        <f aca="false">IF(B5&gt;=Settings!B10,"Ready to quote","Not ready: need "&amp;Settings!B10&amp;" engines with at least "&amp;Settings!B9&amp;" valid runs each (have "&amp;B5&amp;")")</f>
        <v>Not ready: need 5 engines with at least 6 valid runs each (have 0)</v>
      </c>
      <c r="C9" s="25"/>
      <c r="D9" s="25"/>
      <c r="E9" s="25"/>
    </row>
    <row r="10" customFormat="false" ht="43.5" hidden="false" customHeight="true" outlineLevel="0" collapsed="false">
      <c r="A10" s="28" t="s">
        <v>145</v>
      </c>
      <c r="B10" s="29" t="str">
        <f aca="false">IF(B5=0,"No qualified engines yet.",IF(B7=0,"No first or top-two result: do not use a ranking claim.","In VNHL's "&amp;B4&amp;" survey of "&amp;B5&amp;" major AI assistants asked about internal medicine doctors in Imperial Beach, "&amp;Settings!B5&amp;" was named first by "&amp;B6&amp;" of "&amp;B5&amp;" and placed in the top two by "&amp;B7&amp;" of "&amp;B5&amp;". Results from AI assistants change over time."))</f>
        <v>No qualified engines yet.</v>
      </c>
      <c r="C10" s="29"/>
      <c r="D10" s="29"/>
      <c r="E10" s="29"/>
      <c r="F10" s="29"/>
      <c r="G10" s="29"/>
      <c r="H10" s="29"/>
      <c r="I10" s="29"/>
      <c r="J10" s="29"/>
      <c r="K10" s="29"/>
      <c r="L10" s="29"/>
      <c r="M10" s="29"/>
    </row>
    <row r="12" customFormat="false" ht="15" hidden="false" customHeight="false" outlineLevel="0" collapsed="false">
      <c r="A12" s="12" t="s">
        <v>146</v>
      </c>
    </row>
    <row r="14" customFormat="false" ht="42" hidden="false" customHeight="true" outlineLevel="0" collapsed="false">
      <c r="A14" s="7" t="s">
        <v>100</v>
      </c>
      <c r="B14" s="7" t="s">
        <v>72</v>
      </c>
      <c r="C14" s="7" t="s">
        <v>147</v>
      </c>
      <c r="D14" s="7" t="s">
        <v>148</v>
      </c>
      <c r="E14" s="7" t="s">
        <v>149</v>
      </c>
      <c r="F14" s="7" t="s">
        <v>150</v>
      </c>
      <c r="G14" s="7" t="s">
        <v>151</v>
      </c>
      <c r="H14" s="7" t="s">
        <v>152</v>
      </c>
      <c r="I14" s="7" t="s">
        <v>153</v>
      </c>
      <c r="J14" s="7" t="s">
        <v>154</v>
      </c>
      <c r="K14" s="7" t="s">
        <v>155</v>
      </c>
      <c r="L14" s="7" t="s">
        <v>156</v>
      </c>
      <c r="M14" s="7" t="s">
        <v>157</v>
      </c>
    </row>
    <row r="15" customFormat="false" ht="15" hidden="false" customHeight="false" outlineLevel="0" collapsed="false">
      <c r="A15" s="16" t="str">
        <f aca="false">Engines!A5</f>
        <v>ChatGPT</v>
      </c>
      <c r="B15" s="30" t="n">
        <f aca="false">Engines!C5</f>
        <v>1</v>
      </c>
      <c r="C15" s="31" t="n">
        <f aca="false">COUNTIFS('Run Log'!$C$6:$C$205,A15,'Run Log'!$P$6:$P$205,"Y")</f>
        <v>0</v>
      </c>
      <c r="D15" s="32" t="str">
        <f aca="false">IF(C15=0,"",COUNTIFS('Run Log'!$C$6:$C$205,A15,'Run Log'!$P$6:$P$205,"Y",'Run Log'!$I$6:$I$205,"Y")/C15)</f>
        <v/>
      </c>
      <c r="E15" s="32" t="str">
        <f aca="false">IF(C15=0,"",COUNTIFS('Run Log'!$C$6:$C$205,A15,'Run Log'!$P$6:$P$205,"Y",'Run Log'!$I$6:$I$205,"Y",'Run Log'!$J$6:$J$205,1)/C15)</f>
        <v/>
      </c>
      <c r="F15" s="32" t="str">
        <f aca="false">IF(C15=0,"",COUNTIFS('Run Log'!$C$6:$C$205,A15,'Run Log'!$P$6:$P$205,"Y",'Run Log'!$I$6:$I$205,"Y",'Run Log'!$J$6:$J$205,"&lt;=2")/C15)</f>
        <v/>
      </c>
      <c r="G15" s="32" t="str">
        <f aca="false">IF(C15=0,"",COUNTIFS('Run Log'!$C$6:$C$205,A15,'Run Log'!$P$6:$P$205,"Y",'Run Log'!$I$6:$I$205,"Y",'Run Log'!$J$6:$J$205,"&lt;=3")/C15)</f>
        <v/>
      </c>
      <c r="H15" s="30" t="str">
        <f aca="false">IFERROR(AVERAGEIFS('Run Log'!$J$6:$J$205,'Run Log'!$C$6:$C$205,A15,'Run Log'!$P$6:$P$205,"Y",'Run Log'!$I$6:$I$205,"Y"),"")</f>
        <v/>
      </c>
      <c r="I15" s="30" t="str">
        <f aca="false">IFERROR(SUMIFS('Run Log'!$S$6:$S$205,'Run Log'!$C$6:$C$205,A15)/SUMIFS('Run Log'!$Q$6:$Q$205,'Run Log'!$C$6:$C$205,A15),"")</f>
        <v/>
      </c>
      <c r="J15" s="21" t="str">
        <f aca="false">IF(C15&gt;=Settings!$B$9,"Y","N")</f>
        <v>N</v>
      </c>
      <c r="K15" s="33" t="str">
        <f aca="false">IF(C15=0,"No data",IF(J15&lt;&gt;"Y","Too few runs",IF(E15&gt;=Settings!$B$8,"First",IF(F15&gt;=Settings!$B$8,"Top 2",IF(G15&gt;=Settings!$B$8,"Top 3",IF(D15&gt;=Settings!$B$8,"Named","Not reliably named"))))))</f>
        <v>No data</v>
      </c>
      <c r="L15" s="30" t="n">
        <f aca="false">IF(J15="Y",B15*N(I15),0)</f>
        <v>0</v>
      </c>
      <c r="M15" s="30" t="n">
        <f aca="false">IF(J15="Y",B15,0)</f>
        <v>0</v>
      </c>
    </row>
    <row r="16" customFormat="false" ht="15" hidden="false" customHeight="false" outlineLevel="0" collapsed="false">
      <c r="A16" s="16" t="str">
        <f aca="false">Engines!A6</f>
        <v>Gemini</v>
      </c>
      <c r="B16" s="30" t="n">
        <f aca="false">Engines!C6</f>
        <v>1</v>
      </c>
      <c r="C16" s="31" t="n">
        <f aca="false">COUNTIFS('Run Log'!$C$6:$C$205,A16,'Run Log'!$P$6:$P$205,"Y")</f>
        <v>0</v>
      </c>
      <c r="D16" s="32" t="str">
        <f aca="false">IF(C16=0,"",COUNTIFS('Run Log'!$C$6:$C$205,A16,'Run Log'!$P$6:$P$205,"Y",'Run Log'!$I$6:$I$205,"Y")/C16)</f>
        <v/>
      </c>
      <c r="E16" s="32" t="str">
        <f aca="false">IF(C16=0,"",COUNTIFS('Run Log'!$C$6:$C$205,A16,'Run Log'!$P$6:$P$205,"Y",'Run Log'!$I$6:$I$205,"Y",'Run Log'!$J$6:$J$205,1)/C16)</f>
        <v/>
      </c>
      <c r="F16" s="32" t="str">
        <f aca="false">IF(C16=0,"",COUNTIFS('Run Log'!$C$6:$C$205,A16,'Run Log'!$P$6:$P$205,"Y",'Run Log'!$I$6:$I$205,"Y",'Run Log'!$J$6:$J$205,"&lt;=2")/C16)</f>
        <v/>
      </c>
      <c r="G16" s="32" t="str">
        <f aca="false">IF(C16=0,"",COUNTIFS('Run Log'!$C$6:$C$205,A16,'Run Log'!$P$6:$P$205,"Y",'Run Log'!$I$6:$I$205,"Y",'Run Log'!$J$6:$J$205,"&lt;=3")/C16)</f>
        <v/>
      </c>
      <c r="H16" s="30" t="str">
        <f aca="false">IFERROR(AVERAGEIFS('Run Log'!$J$6:$J$205,'Run Log'!$C$6:$C$205,A16,'Run Log'!$P$6:$P$205,"Y",'Run Log'!$I$6:$I$205,"Y"),"")</f>
        <v/>
      </c>
      <c r="I16" s="30" t="str">
        <f aca="false">IFERROR(SUMIFS('Run Log'!$S$6:$S$205,'Run Log'!$C$6:$C$205,A16)/SUMIFS('Run Log'!$Q$6:$Q$205,'Run Log'!$C$6:$C$205,A16),"")</f>
        <v/>
      </c>
      <c r="J16" s="21" t="str">
        <f aca="false">IF(C16&gt;=Settings!$B$9,"Y","N")</f>
        <v>N</v>
      </c>
      <c r="K16" s="33" t="str">
        <f aca="false">IF(C16=0,"No data",IF(J16&lt;&gt;"Y","Too few runs",IF(E16&gt;=Settings!$B$8,"First",IF(F16&gt;=Settings!$B$8,"Top 2",IF(G16&gt;=Settings!$B$8,"Top 3",IF(D16&gt;=Settings!$B$8,"Named","Not reliably named"))))))</f>
        <v>No data</v>
      </c>
      <c r="L16" s="30" t="n">
        <f aca="false">IF(J16="Y",B16*N(I16),0)</f>
        <v>0</v>
      </c>
      <c r="M16" s="30" t="n">
        <f aca="false">IF(J16="Y",B16,0)</f>
        <v>0</v>
      </c>
    </row>
    <row r="17" customFormat="false" ht="15" hidden="false" customHeight="false" outlineLevel="0" collapsed="false">
      <c r="A17" s="16" t="str">
        <f aca="false">Engines!A7</f>
        <v>Google AI Overviews / AI Mode</v>
      </c>
      <c r="B17" s="30" t="n">
        <f aca="false">Engines!C7</f>
        <v>1</v>
      </c>
      <c r="C17" s="31" t="n">
        <f aca="false">COUNTIFS('Run Log'!$C$6:$C$205,A17,'Run Log'!$P$6:$P$205,"Y")</f>
        <v>0</v>
      </c>
      <c r="D17" s="32" t="str">
        <f aca="false">IF(C17=0,"",COUNTIFS('Run Log'!$C$6:$C$205,A17,'Run Log'!$P$6:$P$205,"Y",'Run Log'!$I$6:$I$205,"Y")/C17)</f>
        <v/>
      </c>
      <c r="E17" s="32" t="str">
        <f aca="false">IF(C17=0,"",COUNTIFS('Run Log'!$C$6:$C$205,A17,'Run Log'!$P$6:$P$205,"Y",'Run Log'!$I$6:$I$205,"Y",'Run Log'!$J$6:$J$205,1)/C17)</f>
        <v/>
      </c>
      <c r="F17" s="32" t="str">
        <f aca="false">IF(C17=0,"",COUNTIFS('Run Log'!$C$6:$C$205,A17,'Run Log'!$P$6:$P$205,"Y",'Run Log'!$I$6:$I$205,"Y",'Run Log'!$J$6:$J$205,"&lt;=2")/C17)</f>
        <v/>
      </c>
      <c r="G17" s="32" t="str">
        <f aca="false">IF(C17=0,"",COUNTIFS('Run Log'!$C$6:$C$205,A17,'Run Log'!$P$6:$P$205,"Y",'Run Log'!$I$6:$I$205,"Y",'Run Log'!$J$6:$J$205,"&lt;=3")/C17)</f>
        <v/>
      </c>
      <c r="H17" s="30" t="str">
        <f aca="false">IFERROR(AVERAGEIFS('Run Log'!$J$6:$J$205,'Run Log'!$C$6:$C$205,A17,'Run Log'!$P$6:$P$205,"Y",'Run Log'!$I$6:$I$205,"Y"),"")</f>
        <v/>
      </c>
      <c r="I17" s="30" t="str">
        <f aca="false">IFERROR(SUMIFS('Run Log'!$S$6:$S$205,'Run Log'!$C$6:$C$205,A17)/SUMIFS('Run Log'!$Q$6:$Q$205,'Run Log'!$C$6:$C$205,A17),"")</f>
        <v/>
      </c>
      <c r="J17" s="21" t="str">
        <f aca="false">IF(C17&gt;=Settings!$B$9,"Y","N")</f>
        <v>N</v>
      </c>
      <c r="K17" s="33" t="str">
        <f aca="false">IF(C17=0,"No data",IF(J17&lt;&gt;"Y","Too few runs",IF(E17&gt;=Settings!$B$8,"First",IF(F17&gt;=Settings!$B$8,"Top 2",IF(G17&gt;=Settings!$B$8,"Top 3",IF(D17&gt;=Settings!$B$8,"Named","Not reliably named"))))))</f>
        <v>No data</v>
      </c>
      <c r="L17" s="30" t="n">
        <f aca="false">IF(J17="Y",B17*N(I17),0)</f>
        <v>0</v>
      </c>
      <c r="M17" s="30" t="n">
        <f aca="false">IF(J17="Y",B17,0)</f>
        <v>0</v>
      </c>
    </row>
    <row r="18" customFormat="false" ht="15" hidden="false" customHeight="false" outlineLevel="0" collapsed="false">
      <c r="A18" s="16" t="str">
        <f aca="false">Engines!A8</f>
        <v>Perplexity</v>
      </c>
      <c r="B18" s="30" t="n">
        <f aca="false">Engines!C8</f>
        <v>1</v>
      </c>
      <c r="C18" s="31" t="n">
        <f aca="false">COUNTIFS('Run Log'!$C$6:$C$205,A18,'Run Log'!$P$6:$P$205,"Y")</f>
        <v>0</v>
      </c>
      <c r="D18" s="32" t="str">
        <f aca="false">IF(C18=0,"",COUNTIFS('Run Log'!$C$6:$C$205,A18,'Run Log'!$P$6:$P$205,"Y",'Run Log'!$I$6:$I$205,"Y")/C18)</f>
        <v/>
      </c>
      <c r="E18" s="32" t="str">
        <f aca="false">IF(C18=0,"",COUNTIFS('Run Log'!$C$6:$C$205,A18,'Run Log'!$P$6:$P$205,"Y",'Run Log'!$I$6:$I$205,"Y",'Run Log'!$J$6:$J$205,1)/C18)</f>
        <v/>
      </c>
      <c r="F18" s="32" t="str">
        <f aca="false">IF(C18=0,"",COUNTIFS('Run Log'!$C$6:$C$205,A18,'Run Log'!$P$6:$P$205,"Y",'Run Log'!$I$6:$I$205,"Y",'Run Log'!$J$6:$J$205,"&lt;=2")/C18)</f>
        <v/>
      </c>
      <c r="G18" s="32" t="str">
        <f aca="false">IF(C18=0,"",COUNTIFS('Run Log'!$C$6:$C$205,A18,'Run Log'!$P$6:$P$205,"Y",'Run Log'!$I$6:$I$205,"Y",'Run Log'!$J$6:$J$205,"&lt;=3")/C18)</f>
        <v/>
      </c>
      <c r="H18" s="30" t="str">
        <f aca="false">IFERROR(AVERAGEIFS('Run Log'!$J$6:$J$205,'Run Log'!$C$6:$C$205,A18,'Run Log'!$P$6:$P$205,"Y",'Run Log'!$I$6:$I$205,"Y"),"")</f>
        <v/>
      </c>
      <c r="I18" s="30" t="str">
        <f aca="false">IFERROR(SUMIFS('Run Log'!$S$6:$S$205,'Run Log'!$C$6:$C$205,A18)/SUMIFS('Run Log'!$Q$6:$Q$205,'Run Log'!$C$6:$C$205,A18),"")</f>
        <v/>
      </c>
      <c r="J18" s="21" t="str">
        <f aca="false">IF(C18&gt;=Settings!$B$9,"Y","N")</f>
        <v>N</v>
      </c>
      <c r="K18" s="33" t="str">
        <f aca="false">IF(C18=0,"No data",IF(J18&lt;&gt;"Y","Too few runs",IF(E18&gt;=Settings!$B$8,"First",IF(F18&gt;=Settings!$B$8,"Top 2",IF(G18&gt;=Settings!$B$8,"Top 3",IF(D18&gt;=Settings!$B$8,"Named","Not reliably named"))))))</f>
        <v>No data</v>
      </c>
      <c r="L18" s="30" t="n">
        <f aca="false">IF(J18="Y",B18*N(I18),0)</f>
        <v>0</v>
      </c>
      <c r="M18" s="30" t="n">
        <f aca="false">IF(J18="Y",B18,0)</f>
        <v>0</v>
      </c>
    </row>
    <row r="19" customFormat="false" ht="15" hidden="false" customHeight="false" outlineLevel="0" collapsed="false">
      <c r="A19" s="16" t="str">
        <f aca="false">Engines!A9</f>
        <v>Claude</v>
      </c>
      <c r="B19" s="30" t="n">
        <f aca="false">Engines!C9</f>
        <v>1</v>
      </c>
      <c r="C19" s="31" t="n">
        <f aca="false">COUNTIFS('Run Log'!$C$6:$C$205,A19,'Run Log'!$P$6:$P$205,"Y")</f>
        <v>0</v>
      </c>
      <c r="D19" s="32" t="str">
        <f aca="false">IF(C19=0,"",COUNTIFS('Run Log'!$C$6:$C$205,A19,'Run Log'!$P$6:$P$205,"Y",'Run Log'!$I$6:$I$205,"Y")/C19)</f>
        <v/>
      </c>
      <c r="E19" s="32" t="str">
        <f aca="false">IF(C19=0,"",COUNTIFS('Run Log'!$C$6:$C$205,A19,'Run Log'!$P$6:$P$205,"Y",'Run Log'!$I$6:$I$205,"Y",'Run Log'!$J$6:$J$205,1)/C19)</f>
        <v/>
      </c>
      <c r="F19" s="32" t="str">
        <f aca="false">IF(C19=0,"",COUNTIFS('Run Log'!$C$6:$C$205,A19,'Run Log'!$P$6:$P$205,"Y",'Run Log'!$I$6:$I$205,"Y",'Run Log'!$J$6:$J$205,"&lt;=2")/C19)</f>
        <v/>
      </c>
      <c r="G19" s="32" t="str">
        <f aca="false">IF(C19=0,"",COUNTIFS('Run Log'!$C$6:$C$205,A19,'Run Log'!$P$6:$P$205,"Y",'Run Log'!$I$6:$I$205,"Y",'Run Log'!$J$6:$J$205,"&lt;=3")/C19)</f>
        <v/>
      </c>
      <c r="H19" s="30" t="str">
        <f aca="false">IFERROR(AVERAGEIFS('Run Log'!$J$6:$J$205,'Run Log'!$C$6:$C$205,A19,'Run Log'!$P$6:$P$205,"Y",'Run Log'!$I$6:$I$205,"Y"),"")</f>
        <v/>
      </c>
      <c r="I19" s="30" t="str">
        <f aca="false">IFERROR(SUMIFS('Run Log'!$S$6:$S$205,'Run Log'!$C$6:$C$205,A19)/SUMIFS('Run Log'!$Q$6:$Q$205,'Run Log'!$C$6:$C$205,A19),"")</f>
        <v/>
      </c>
      <c r="J19" s="21" t="str">
        <f aca="false">IF(C19&gt;=Settings!$B$9,"Y","N")</f>
        <v>N</v>
      </c>
      <c r="K19" s="33" t="str">
        <f aca="false">IF(C19=0,"No data",IF(J19&lt;&gt;"Y","Too few runs",IF(E19&gt;=Settings!$B$8,"First",IF(F19&gt;=Settings!$B$8,"Top 2",IF(G19&gt;=Settings!$B$8,"Top 3",IF(D19&gt;=Settings!$B$8,"Named","Not reliably named"))))))</f>
        <v>No data</v>
      </c>
      <c r="L19" s="30" t="n">
        <f aca="false">IF(J19="Y",B19*N(I19),0)</f>
        <v>0</v>
      </c>
      <c r="M19" s="30" t="n">
        <f aca="false">IF(J19="Y",B19,0)</f>
        <v>0</v>
      </c>
    </row>
    <row r="20" customFormat="false" ht="15" hidden="false" customHeight="false" outlineLevel="0" collapsed="false">
      <c r="A20" s="16" t="str">
        <f aca="false">Engines!A10</f>
        <v>Microsoft Copilot</v>
      </c>
      <c r="B20" s="30" t="n">
        <f aca="false">Engines!C10</f>
        <v>1</v>
      </c>
      <c r="C20" s="31" t="n">
        <f aca="false">COUNTIFS('Run Log'!$C$6:$C$205,A20,'Run Log'!$P$6:$P$205,"Y")</f>
        <v>0</v>
      </c>
      <c r="D20" s="32" t="str">
        <f aca="false">IF(C20=0,"",COUNTIFS('Run Log'!$C$6:$C$205,A20,'Run Log'!$P$6:$P$205,"Y",'Run Log'!$I$6:$I$205,"Y")/C20)</f>
        <v/>
      </c>
      <c r="E20" s="32" t="str">
        <f aca="false">IF(C20=0,"",COUNTIFS('Run Log'!$C$6:$C$205,A20,'Run Log'!$P$6:$P$205,"Y",'Run Log'!$I$6:$I$205,"Y",'Run Log'!$J$6:$J$205,1)/C20)</f>
        <v/>
      </c>
      <c r="F20" s="32" t="str">
        <f aca="false">IF(C20=0,"",COUNTIFS('Run Log'!$C$6:$C$205,A20,'Run Log'!$P$6:$P$205,"Y",'Run Log'!$I$6:$I$205,"Y",'Run Log'!$J$6:$J$205,"&lt;=2")/C20)</f>
        <v/>
      </c>
      <c r="G20" s="32" t="str">
        <f aca="false">IF(C20=0,"",COUNTIFS('Run Log'!$C$6:$C$205,A20,'Run Log'!$P$6:$P$205,"Y",'Run Log'!$I$6:$I$205,"Y",'Run Log'!$J$6:$J$205,"&lt;=3")/C20)</f>
        <v/>
      </c>
      <c r="H20" s="30" t="str">
        <f aca="false">IFERROR(AVERAGEIFS('Run Log'!$J$6:$J$205,'Run Log'!$C$6:$C$205,A20,'Run Log'!$P$6:$P$205,"Y",'Run Log'!$I$6:$I$205,"Y"),"")</f>
        <v/>
      </c>
      <c r="I20" s="30" t="str">
        <f aca="false">IFERROR(SUMIFS('Run Log'!$S$6:$S$205,'Run Log'!$C$6:$C$205,A20)/SUMIFS('Run Log'!$Q$6:$Q$205,'Run Log'!$C$6:$C$205,A20),"")</f>
        <v/>
      </c>
      <c r="J20" s="21" t="str">
        <f aca="false">IF(C20&gt;=Settings!$B$9,"Y","N")</f>
        <v>N</v>
      </c>
      <c r="K20" s="33" t="str">
        <f aca="false">IF(C20=0,"No data",IF(J20&lt;&gt;"Y","Too few runs",IF(E20&gt;=Settings!$B$8,"First",IF(F20&gt;=Settings!$B$8,"Top 2",IF(G20&gt;=Settings!$B$8,"Top 3",IF(D20&gt;=Settings!$B$8,"Named","Not reliably named"))))))</f>
        <v>No data</v>
      </c>
      <c r="L20" s="30" t="n">
        <f aca="false">IF(J20="Y",B20*N(I20),0)</f>
        <v>0</v>
      </c>
      <c r="M20" s="30" t="n">
        <f aca="false">IF(J20="Y",B20,0)</f>
        <v>0</v>
      </c>
    </row>
    <row r="21" customFormat="false" ht="15" hidden="false" customHeight="false" outlineLevel="0" collapsed="false">
      <c r="A21" s="16" t="str">
        <f aca="false">Engines!A11</f>
        <v>Grok</v>
      </c>
      <c r="B21" s="30" t="n">
        <f aca="false">Engines!C11</f>
        <v>1</v>
      </c>
      <c r="C21" s="31" t="n">
        <f aca="false">COUNTIFS('Run Log'!$C$6:$C$205,A21,'Run Log'!$P$6:$P$205,"Y")</f>
        <v>0</v>
      </c>
      <c r="D21" s="32" t="str">
        <f aca="false">IF(C21=0,"",COUNTIFS('Run Log'!$C$6:$C$205,A21,'Run Log'!$P$6:$P$205,"Y",'Run Log'!$I$6:$I$205,"Y")/C21)</f>
        <v/>
      </c>
      <c r="E21" s="32" t="str">
        <f aca="false">IF(C21=0,"",COUNTIFS('Run Log'!$C$6:$C$205,A21,'Run Log'!$P$6:$P$205,"Y",'Run Log'!$I$6:$I$205,"Y",'Run Log'!$J$6:$J$205,1)/C21)</f>
        <v/>
      </c>
      <c r="F21" s="32" t="str">
        <f aca="false">IF(C21=0,"",COUNTIFS('Run Log'!$C$6:$C$205,A21,'Run Log'!$P$6:$P$205,"Y",'Run Log'!$I$6:$I$205,"Y",'Run Log'!$J$6:$J$205,"&lt;=2")/C21)</f>
        <v/>
      </c>
      <c r="G21" s="32" t="str">
        <f aca="false">IF(C21=0,"",COUNTIFS('Run Log'!$C$6:$C$205,A21,'Run Log'!$P$6:$P$205,"Y",'Run Log'!$I$6:$I$205,"Y",'Run Log'!$J$6:$J$205,"&lt;=3")/C21)</f>
        <v/>
      </c>
      <c r="H21" s="30" t="str">
        <f aca="false">IFERROR(AVERAGEIFS('Run Log'!$J$6:$J$205,'Run Log'!$C$6:$C$205,A21,'Run Log'!$P$6:$P$205,"Y",'Run Log'!$I$6:$I$205,"Y"),"")</f>
        <v/>
      </c>
      <c r="I21" s="30" t="str">
        <f aca="false">IFERROR(SUMIFS('Run Log'!$S$6:$S$205,'Run Log'!$C$6:$C$205,A21)/SUMIFS('Run Log'!$Q$6:$Q$205,'Run Log'!$C$6:$C$205,A21),"")</f>
        <v/>
      </c>
      <c r="J21" s="21" t="str">
        <f aca="false">IF(C21&gt;=Settings!$B$9,"Y","N")</f>
        <v>N</v>
      </c>
      <c r="K21" s="33" t="str">
        <f aca="false">IF(C21=0,"No data",IF(J21&lt;&gt;"Y","Too few runs",IF(E21&gt;=Settings!$B$8,"First",IF(F21&gt;=Settings!$B$8,"Top 2",IF(G21&gt;=Settings!$B$8,"Top 3",IF(D21&gt;=Settings!$B$8,"Named","Not reliably named"))))))</f>
        <v>No data</v>
      </c>
      <c r="L21" s="30" t="n">
        <f aca="false">IF(J21="Y",B21*N(I21),0)</f>
        <v>0</v>
      </c>
      <c r="M21" s="30" t="n">
        <f aca="false">IF(J21="Y",B21,0)</f>
        <v>0</v>
      </c>
    </row>
    <row r="22" customFormat="false" ht="15" hidden="false" customHeight="false" outlineLevel="0" collapsed="false">
      <c r="A22" s="16" t="str">
        <f aca="false">Engines!A12</f>
        <v>Meta AI</v>
      </c>
      <c r="B22" s="30" t="n">
        <f aca="false">Engines!C12</f>
        <v>1</v>
      </c>
      <c r="C22" s="31" t="n">
        <f aca="false">COUNTIFS('Run Log'!$C$6:$C$205,A22,'Run Log'!$P$6:$P$205,"Y")</f>
        <v>0</v>
      </c>
      <c r="D22" s="32" t="str">
        <f aca="false">IF(C22=0,"",COUNTIFS('Run Log'!$C$6:$C$205,A22,'Run Log'!$P$6:$P$205,"Y",'Run Log'!$I$6:$I$205,"Y")/C22)</f>
        <v/>
      </c>
      <c r="E22" s="32" t="str">
        <f aca="false">IF(C22=0,"",COUNTIFS('Run Log'!$C$6:$C$205,A22,'Run Log'!$P$6:$P$205,"Y",'Run Log'!$I$6:$I$205,"Y",'Run Log'!$J$6:$J$205,1)/C22)</f>
        <v/>
      </c>
      <c r="F22" s="32" t="str">
        <f aca="false">IF(C22=0,"",COUNTIFS('Run Log'!$C$6:$C$205,A22,'Run Log'!$P$6:$P$205,"Y",'Run Log'!$I$6:$I$205,"Y",'Run Log'!$J$6:$J$205,"&lt;=2")/C22)</f>
        <v/>
      </c>
      <c r="G22" s="32" t="str">
        <f aca="false">IF(C22=0,"",COUNTIFS('Run Log'!$C$6:$C$205,A22,'Run Log'!$P$6:$P$205,"Y",'Run Log'!$I$6:$I$205,"Y",'Run Log'!$J$6:$J$205,"&lt;=3")/C22)</f>
        <v/>
      </c>
      <c r="H22" s="30" t="str">
        <f aca="false">IFERROR(AVERAGEIFS('Run Log'!$J$6:$J$205,'Run Log'!$C$6:$C$205,A22,'Run Log'!$P$6:$P$205,"Y",'Run Log'!$I$6:$I$205,"Y"),"")</f>
        <v/>
      </c>
      <c r="I22" s="30" t="str">
        <f aca="false">IFERROR(SUMIFS('Run Log'!$S$6:$S$205,'Run Log'!$C$6:$C$205,A22)/SUMIFS('Run Log'!$Q$6:$Q$205,'Run Log'!$C$6:$C$205,A22),"")</f>
        <v/>
      </c>
      <c r="J22" s="21" t="str">
        <f aca="false">IF(C22&gt;=Settings!$B$9,"Y","N")</f>
        <v>N</v>
      </c>
      <c r="K22" s="33" t="str">
        <f aca="false">IF(C22=0,"No data",IF(J22&lt;&gt;"Y","Too few runs",IF(E22&gt;=Settings!$B$8,"First",IF(F22&gt;=Settings!$B$8,"Top 2",IF(G22&gt;=Settings!$B$8,"Top 3",IF(D22&gt;=Settings!$B$8,"Named","Not reliably named"))))))</f>
        <v>No data</v>
      </c>
      <c r="L22" s="30" t="n">
        <f aca="false">IF(J22="Y",B22*N(I22),0)</f>
        <v>0</v>
      </c>
      <c r="M22" s="30" t="n">
        <f aca="false">IF(J22="Y",B22,0)</f>
        <v>0</v>
      </c>
    </row>
    <row r="24" customFormat="false" ht="15" hidden="false" customHeight="false" outlineLevel="0" collapsed="false">
      <c r="A24" s="12" t="s">
        <v>158</v>
      </c>
    </row>
    <row r="26" customFormat="false" ht="15" hidden="false" customHeight="false" outlineLevel="0" collapsed="false">
      <c r="A26" s="7" t="s">
        <v>159</v>
      </c>
      <c r="B26" s="7" t="s">
        <v>69</v>
      </c>
      <c r="C26" s="7" t="s">
        <v>147</v>
      </c>
      <c r="D26" s="7" t="s">
        <v>148</v>
      </c>
      <c r="E26" s="7" t="s">
        <v>149</v>
      </c>
      <c r="F26" s="7" t="s">
        <v>160</v>
      </c>
    </row>
    <row r="27" customFormat="false" ht="15" hidden="false" customHeight="false" outlineLevel="0" collapsed="false">
      <c r="A27" s="16" t="str">
        <f aca="false">Questions!B5&amp;": "&amp;LEFT(Questions!C5,60)</f>
        <v>General: Who is the best internal medicine doctor in Imperial Beach, </v>
      </c>
      <c r="B27" s="21" t="str">
        <f aca="false">Questions!A5</f>
        <v>Q1</v>
      </c>
      <c r="C27" s="31" t="n">
        <f aca="false">COUNTIFS('Run Log'!$G$6:$G$205,B27,'Run Log'!$P$6:$P$205,"Y")</f>
        <v>0</v>
      </c>
      <c r="D27" s="32" t="str">
        <f aca="false">IF(C27=0,"",COUNTIFS('Run Log'!$G$6:$G$205,B27,'Run Log'!$P$6:$P$205,"Y",'Run Log'!$I$6:$I$205,"Y")/C27)</f>
        <v/>
      </c>
      <c r="E27" s="32" t="str">
        <f aca="false">IF(C27=0,"",COUNTIFS('Run Log'!$G$6:$G$205,B27,'Run Log'!$P$6:$P$205,"Y",'Run Log'!$I$6:$I$205,"Y",'Run Log'!$J$6:$J$205,1)/C27)</f>
        <v/>
      </c>
      <c r="F27" s="30" t="str">
        <f aca="false">IFERROR(SUMIFS('Run Log'!$S$6:$S$205,'Run Log'!$G$6:$G$205,B27)/SUMIFS('Run Log'!$Q$6:$Q$205,'Run Log'!$G$6:$G$205,B27),"")</f>
        <v/>
      </c>
    </row>
    <row r="28" customFormat="false" ht="15" hidden="false" customHeight="false" outlineLevel="0" collapsed="false">
      <c r="A28" s="16" t="str">
        <f aca="false">Questions!B6&amp;": "&amp;LEFT(Questions!C6,60)</f>
        <v>Seniors: Who is the best primary care doctor in Imperial Beach, CA fo</v>
      </c>
      <c r="B28" s="21" t="str">
        <f aca="false">Questions!A6</f>
        <v>Q2</v>
      </c>
      <c r="C28" s="31" t="n">
        <f aca="false">COUNTIFS('Run Log'!$G$6:$G$205,B28,'Run Log'!$P$6:$P$205,"Y")</f>
        <v>0</v>
      </c>
      <c r="D28" s="32" t="str">
        <f aca="false">IF(C28=0,"",COUNTIFS('Run Log'!$G$6:$G$205,B28,'Run Log'!$P$6:$P$205,"Y",'Run Log'!$I$6:$I$205,"Y")/C28)</f>
        <v/>
      </c>
      <c r="E28" s="32" t="str">
        <f aca="false">IF(C28=0,"",COUNTIFS('Run Log'!$G$6:$G$205,B28,'Run Log'!$P$6:$P$205,"Y",'Run Log'!$I$6:$I$205,"Y",'Run Log'!$J$6:$J$205,1)/C28)</f>
        <v/>
      </c>
      <c r="F28" s="30" t="str">
        <f aca="false">IFERROR(SUMIFS('Run Log'!$S$6:$S$205,'Run Log'!$G$6:$G$205,B28)/SUMIFS('Run Log'!$Q$6:$Q$205,'Run Log'!$G$6:$G$205,B28),"")</f>
        <v/>
      </c>
    </row>
    <row r="29" customFormat="false" ht="15" hidden="false" customHeight="false" outlineLevel="0" collapsed="false">
      <c r="A29" s="16" t="str">
        <f aca="false">Questions!B7&amp;": "&amp;LEFT(Questions!C7,60)</f>
        <v>Near me / ZIP: I am looking for a new primary care doctor near Imperial Bea</v>
      </c>
      <c r="B29" s="21" t="str">
        <f aca="false">Questions!A7</f>
        <v>Q3</v>
      </c>
      <c r="C29" s="31" t="n">
        <f aca="false">COUNTIFS('Run Log'!$G$6:$G$205,B29,'Run Log'!$P$6:$P$205,"Y")</f>
        <v>0</v>
      </c>
      <c r="D29" s="32" t="str">
        <f aca="false">IF(C29=0,"",COUNTIFS('Run Log'!$G$6:$G$205,B29,'Run Log'!$P$6:$P$205,"Y",'Run Log'!$I$6:$I$205,"Y")/C29)</f>
        <v/>
      </c>
      <c r="E29" s="32" t="str">
        <f aca="false">IF(C29=0,"",COUNTIFS('Run Log'!$G$6:$G$205,B29,'Run Log'!$P$6:$P$205,"Y",'Run Log'!$I$6:$I$205,"Y",'Run Log'!$J$6:$J$205,1)/C29)</f>
        <v/>
      </c>
      <c r="F29" s="30" t="str">
        <f aca="false">IFERROR(SUMIFS('Run Log'!$S$6:$S$205,'Run Log'!$G$6:$G$205,B29)/SUMIFS('Run Log'!$Q$6:$Q$205,'Run Log'!$G$6:$G$205,B29),"")</f>
        <v/>
      </c>
    </row>
    <row r="30" customFormat="false" ht="15" hidden="false" customHeight="false" outlineLevel="0" collapsed="false">
      <c r="A30" s="16" t="str">
        <f aca="false">Questions!B8&amp;": "&amp;LEFT(Questions!C8,60)</f>
        <v>Regional: Which internal medicine doctors in the South Bay area of San</v>
      </c>
      <c r="B30" s="21" t="str">
        <f aca="false">Questions!A8</f>
        <v>Q4</v>
      </c>
      <c r="C30" s="31" t="n">
        <f aca="false">COUNTIFS('Run Log'!$G$6:$G$205,B30,'Run Log'!$P$6:$P$205,"Y")</f>
        <v>0</v>
      </c>
      <c r="D30" s="32" t="str">
        <f aca="false">IF(C30=0,"",COUNTIFS('Run Log'!$G$6:$G$205,B30,'Run Log'!$P$6:$P$205,"Y",'Run Log'!$I$6:$I$205,"Y")/C30)</f>
        <v/>
      </c>
      <c r="E30" s="32" t="str">
        <f aca="false">IF(C30=0,"",COUNTIFS('Run Log'!$G$6:$G$205,B30,'Run Log'!$P$6:$P$205,"Y",'Run Log'!$I$6:$I$205,"Y",'Run Log'!$J$6:$J$205,1)/C30)</f>
        <v/>
      </c>
      <c r="F30" s="30" t="str">
        <f aca="false">IFERROR(SUMIFS('Run Log'!$S$6:$S$205,'Run Log'!$G$6:$G$205,B30)/SUMIFS('Run Log'!$Q$6:$Q$205,'Run Log'!$G$6:$G$205,B30),"")</f>
        <v/>
      </c>
    </row>
    <row r="31" customFormat="false" ht="15" hidden="false" customHeight="false" outlineLevel="0" collapsed="false">
      <c r="A31" s="16" t="str">
        <f aca="false">Questions!B9&amp;": "&amp;LEFT(Questions!C9,60)</f>
        <v>Service: Who is a good doctor for medical weight loss in Imperial Bea</v>
      </c>
      <c r="B31" s="21" t="str">
        <f aca="false">Questions!A9</f>
        <v>Q5</v>
      </c>
      <c r="C31" s="31" t="n">
        <f aca="false">COUNTIFS('Run Log'!$G$6:$G$205,B31,'Run Log'!$P$6:$P$205,"Y")</f>
        <v>0</v>
      </c>
      <c r="D31" s="32" t="str">
        <f aca="false">IF(C31=0,"",COUNTIFS('Run Log'!$G$6:$G$205,B31,'Run Log'!$P$6:$P$205,"Y",'Run Log'!$I$6:$I$205,"Y")/C31)</f>
        <v/>
      </c>
      <c r="E31" s="32" t="str">
        <f aca="false">IF(C31=0,"",COUNTIFS('Run Log'!$G$6:$G$205,B31,'Run Log'!$P$6:$P$205,"Y",'Run Log'!$I$6:$I$205,"Y",'Run Log'!$J$6:$J$205,1)/C31)</f>
        <v/>
      </c>
      <c r="F31" s="30" t="str">
        <f aca="false">IFERROR(SUMIFS('Run Log'!$S$6:$S$205,'Run Log'!$G$6:$G$205,B31)/SUMIFS('Run Log'!$Q$6:$Q$205,'Run Log'!$G$6:$G$205,B31),"")</f>
        <v/>
      </c>
    </row>
    <row r="32" customFormat="false" ht="15" hidden="false" customHeight="false" outlineLevel="0" collapsed="false">
      <c r="A32" s="16" t="str">
        <f aca="false">Questions!B10&amp;": "&amp;LEFT(Questions!C10,60)</f>
        <v>Spanish: ¿Quién es el mejor médico de medicina interna en Imperial Be</v>
      </c>
      <c r="B32" s="21" t="str">
        <f aca="false">Questions!A10</f>
        <v>Q6</v>
      </c>
      <c r="C32" s="31" t="n">
        <f aca="false">COUNTIFS('Run Log'!$G$6:$G$205,B32,'Run Log'!$P$6:$P$205,"Y")</f>
        <v>0</v>
      </c>
      <c r="D32" s="32" t="str">
        <f aca="false">IF(C32=0,"",COUNTIFS('Run Log'!$G$6:$G$205,B32,'Run Log'!$P$6:$P$205,"Y",'Run Log'!$I$6:$I$205,"Y")/C32)</f>
        <v/>
      </c>
      <c r="E32" s="32" t="str">
        <f aca="false">IF(C32=0,"",COUNTIFS('Run Log'!$G$6:$G$205,B32,'Run Log'!$P$6:$P$205,"Y",'Run Log'!$I$6:$I$205,"Y",'Run Log'!$J$6:$J$205,1)/C32)</f>
        <v/>
      </c>
      <c r="F32" s="30" t="str">
        <f aca="false">IFERROR(SUMIFS('Run Log'!$S$6:$S$205,'Run Log'!$G$6:$G$205,B32)/SUMIFS('Run Log'!$Q$6:$Q$205,'Run Log'!$G$6:$G$205,B32),"")</f>
        <v/>
      </c>
    </row>
  </sheetData>
  <mergeCells count="7">
    <mergeCell ref="B4:E4"/>
    <mergeCell ref="B5:E5"/>
    <mergeCell ref="B6:E6"/>
    <mergeCell ref="B7:E7"/>
    <mergeCell ref="B8:E8"/>
    <mergeCell ref="B9:E9"/>
    <mergeCell ref="B10:M10"/>
  </mergeCells>
  <conditionalFormatting sqref="K15:K22">
    <cfRule type="cellIs" priority="2" operator="equal" aboveAverage="0" equalAverage="0" bottom="0" percent="0" rank="0" text="" dxfId="1">
      <formula>"First"</formula>
    </cfRule>
    <cfRule type="cellIs" priority="3" operator="equal" aboveAverage="0" equalAverage="0" bottom="0" percent="0" rank="0" text="" dxfId="2">
      <formula>"Top 2"</formula>
    </cfRule>
    <cfRule type="cellIs" priority="4" operator="equal" aboveAverage="0" equalAverage="0" bottom="0" percent="0" rank="0" text="" dxfId="3">
      <formula>"Not reliably named"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24"/>
    <col collapsed="false" customWidth="true" hidden="false" outlineLevel="0" max="5" min="4" style="0" width="10"/>
    <col collapsed="false" customWidth="true" hidden="false" outlineLevel="0" max="6" min="6" style="0" width="12"/>
    <col collapsed="false" customWidth="true" hidden="false" outlineLevel="0" max="7" min="7" style="0" width="14"/>
    <col collapsed="false" customWidth="true" hidden="false" outlineLevel="0" max="8" min="8" style="0" width="80"/>
  </cols>
  <sheetData>
    <row r="1" customFormat="false" ht="17.35" hidden="false" customHeight="false" outlineLevel="0" collapsed="false">
      <c r="A1" s="1" t="s">
        <v>161</v>
      </c>
    </row>
    <row r="2" customFormat="false" ht="15" hidden="false" customHeight="false" outlineLevel="0" collapsed="false">
      <c r="A2" s="2" t="s">
        <v>162</v>
      </c>
    </row>
    <row r="4" customFormat="false" ht="30" hidden="false" customHeight="true" outlineLevel="0" collapsed="false">
      <c r="A4" s="7" t="s">
        <v>139</v>
      </c>
      <c r="B4" s="7" t="s">
        <v>163</v>
      </c>
      <c r="C4" s="7" t="s">
        <v>164</v>
      </c>
      <c r="D4" s="7" t="s">
        <v>165</v>
      </c>
      <c r="E4" s="7" t="s">
        <v>166</v>
      </c>
      <c r="F4" s="7" t="s">
        <v>167</v>
      </c>
      <c r="G4" s="7" t="s">
        <v>168</v>
      </c>
      <c r="H4" s="7" t="s">
        <v>169</v>
      </c>
    </row>
    <row r="5" customFormat="false" ht="30" hidden="false" customHeight="true" outlineLevel="0" collapsed="false">
      <c r="A5" s="15" t="s">
        <v>170</v>
      </c>
      <c r="B5" s="9"/>
      <c r="C5" s="9" t="s">
        <v>171</v>
      </c>
      <c r="D5" s="9" t="n">
        <v>5</v>
      </c>
      <c r="E5" s="9" t="n">
        <v>4</v>
      </c>
      <c r="F5" s="9" t="n">
        <v>5</v>
      </c>
      <c r="G5" s="9"/>
      <c r="H5" s="10" t="s">
        <v>172</v>
      </c>
    </row>
    <row r="6" customFormat="false" ht="15" hidden="false" customHeight="false" outlineLevel="0" collapsed="false">
      <c r="A6" s="15" t="s">
        <v>173</v>
      </c>
      <c r="B6" s="16" t="str">
        <f aca="false">Settings!B4</f>
        <v>October 2026</v>
      </c>
      <c r="C6" s="16" t="str">
        <f aca="false">Settings!B7</f>
        <v>Imperial Beach, CA 91932</v>
      </c>
      <c r="D6" s="31" t="n">
        <f aca="false">Summary!B5</f>
        <v>0</v>
      </c>
      <c r="E6" s="31" t="n">
        <f aca="false">Summary!B6</f>
        <v>0</v>
      </c>
      <c r="F6" s="31" t="n">
        <f aca="false">Summary!B7</f>
        <v>0</v>
      </c>
      <c r="G6" s="30" t="str">
        <f aca="false">Summary!B8</f>
        <v/>
      </c>
      <c r="H6" s="14" t="s">
        <v>174</v>
      </c>
    </row>
    <row r="7" customFormat="false" ht="15" hidden="false" customHeight="false" outlineLevel="0" collapsed="false">
      <c r="A7" s="15" t="s">
        <v>175</v>
      </c>
      <c r="B7" s="9"/>
      <c r="C7" s="9"/>
      <c r="D7" s="9"/>
      <c r="E7" s="9"/>
      <c r="F7" s="9"/>
      <c r="G7" s="9"/>
      <c r="H7" s="9"/>
    </row>
    <row r="8" customFormat="false" ht="15" hidden="false" customHeight="false" outlineLevel="0" collapsed="false">
      <c r="A8" s="15" t="s">
        <v>176</v>
      </c>
      <c r="B8" s="9"/>
      <c r="C8" s="9"/>
      <c r="D8" s="9"/>
      <c r="E8" s="9"/>
      <c r="F8" s="9"/>
      <c r="G8" s="9"/>
      <c r="H8"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2026-10-04T05:56:02Z</dcterms:created>
  <dc:creator>openpyxl</dc:creator>
  <dc:description/>
  <dc:language>en-US</dc:language>
  <cp:lastModifiedBy/>
  <dcterms:modified xsi:type="dcterms:W3CDTF">2026-10-04T05:56:03Z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